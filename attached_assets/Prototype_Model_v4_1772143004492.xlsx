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Ex1.xml" ContentType="application/vnd.ms-office.chartex+xml"/>
  <Override PartName="/xl/charts/style27.xml" ContentType="application/vnd.ms-office.chartstyle+xml"/>
  <Override PartName="/xl/charts/colors2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comments1.xml" ContentType="application/vnd.openxmlformats-officedocument.spreadsheetml.comments+xml"/>
  <Override PartName="/xl/charts/chart27.xml" ContentType="application/vnd.openxmlformats-officedocument.drawingml.chart+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11cdd0ad820b382/Documents/Mari/Startup Idea/Prototype Deck/"/>
    </mc:Choice>
  </mc:AlternateContent>
  <xr:revisionPtr revIDLastSave="997" documentId="8_{E88BDD61-1491-4A0C-886A-01570CD6C82F}" xr6:coauthVersionLast="47" xr6:coauthVersionMax="47" xr10:uidLastSave="{1869EBA7-0440-4BC7-B228-C8F91438F37F}"/>
  <bookViews>
    <workbookView xWindow="-110" yWindow="-110" windowWidth="22620" windowHeight="13500" firstSheet="9" activeTab="13" xr2:uid="{C3B9A51F-9200-426D-8866-8C72E464026B}"/>
  </bookViews>
  <sheets>
    <sheet name="Rent vs. Buy" sheetId="14" r:id="rId1"/>
    <sheet name="MoneyBoard - Key Metrics" sheetId="18" r:id="rId2"/>
    <sheet name="Execute on Securities Trades" sheetId="22" r:id="rId3"/>
    <sheet name="Model Portfolios" sheetId="17" r:id="rId4"/>
    <sheet name="Long-Term Forecast" sheetId="25" r:id="rId5"/>
    <sheet name="Dashboard Style" sheetId="23" r:id="rId6"/>
    <sheet name="Money Movement" sheetId="20" r:id="rId7"/>
    <sheet name="Cash Flow Walk" sheetId="21" r:id="rId8"/>
    <sheet name="MoneyBoard - Balance Sheet" sheetId="19" r:id="rId9"/>
    <sheet name="Charts" sheetId="3" r:id="rId10"/>
    <sheet name="DATA AND MODELS--&gt;" sheetId="6" r:id="rId11"/>
    <sheet name="Balance Sheet" sheetId="1" r:id="rId12"/>
    <sheet name="Cash Flow" sheetId="4" r:id="rId13"/>
    <sheet name="OPTIMIZER" sheetId="13" r:id="rId14"/>
    <sheet name="Investment Breakdown" sheetId="7" r:id="rId15"/>
    <sheet name="Portfolio_Positions_Apr-05-2025" sheetId="11" r:id="rId16"/>
    <sheet name="Investment Breakdown (3.19.25)" sheetId="12" r:id="rId17"/>
  </sheets>
  <definedNames>
    <definedName name="_xlchart.v1.0" hidden="1">Charts!$AA$137:$AA$147</definedName>
    <definedName name="_xlchart.v1.1" hidden="1">Charts!$AC$137:$AC$147</definedName>
    <definedName name="_xlnm.Print_Area" localSheetId="11">'Balance Sheet'!$A$1:$L$56</definedName>
    <definedName name="_xlnm.Print_Area" localSheetId="12">'Cash Flow'!$A$1:$CG$160</definedName>
    <definedName name="_xlnm.Print_Area" localSheetId="9">Charts!$A$1:$T$165</definedName>
    <definedName name="_xlnm.Print_Area" localSheetId="10">'DATA AND MODELS--&gt;'!$A$1:$U$37</definedName>
    <definedName name="_xlnm.Print_Titles" localSheetId="9">Charts!$1:$3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25" i="13" l="1"/>
  <c r="W17" i="21"/>
  <c r="V17" i="21"/>
  <c r="V19" i="21" s="1"/>
  <c r="T16" i="21"/>
  <c r="U16" i="21" s="1"/>
  <c r="W19" i="21"/>
  <c r="E12" i="25"/>
  <c r="D12" i="25"/>
  <c r="C12" i="25"/>
  <c r="B12" i="25"/>
  <c r="E11" i="25"/>
  <c r="D11" i="25"/>
  <c r="C11" i="25"/>
  <c r="B11" i="25"/>
  <c r="E8" i="25"/>
  <c r="D8" i="25"/>
  <c r="C8" i="25"/>
  <c r="B8" i="25"/>
  <c r="E7" i="25"/>
  <c r="D7" i="25"/>
  <c r="C7" i="25"/>
  <c r="B7" i="25"/>
  <c r="E3" i="25"/>
  <c r="J3" i="25" s="1"/>
  <c r="D3" i="25"/>
  <c r="I3" i="25" s="1"/>
  <c r="C3" i="25"/>
  <c r="H3" i="25" s="1"/>
  <c r="B3" i="25"/>
  <c r="G3" i="25" s="1"/>
  <c r="E4" i="25"/>
  <c r="D4" i="25"/>
  <c r="C4" i="25"/>
  <c r="B4" i="25"/>
  <c r="B1" i="25"/>
  <c r="G1" i="25" s="1"/>
  <c r="BF133" i="4"/>
  <c r="BE133" i="4" s="1"/>
  <c r="BT126" i="4"/>
  <c r="BS126" i="4" s="1"/>
  <c r="BT119" i="4"/>
  <c r="BS119" i="4"/>
  <c r="BF126" i="4"/>
  <c r="BE126" i="4" s="1"/>
  <c r="BF119" i="4"/>
  <c r="BE119" i="4"/>
  <c r="E115" i="4"/>
  <c r="T123" i="4"/>
  <c r="U123" i="4" s="1"/>
  <c r="V123" i="4" s="1"/>
  <c r="W123" i="4" s="1"/>
  <c r="X123" i="4" s="1"/>
  <c r="Y123" i="4" s="1"/>
  <c r="Z123" i="4" s="1"/>
  <c r="AA123" i="4" s="1"/>
  <c r="AB123" i="4" s="1"/>
  <c r="AC123" i="4" s="1"/>
  <c r="AD123" i="4" s="1"/>
  <c r="T64" i="4"/>
  <c r="U64" i="4" s="1"/>
  <c r="V64" i="4" s="1"/>
  <c r="W64" i="4" s="1"/>
  <c r="X64" i="4" s="1"/>
  <c r="Y64" i="4" s="1"/>
  <c r="Z64" i="4" s="1"/>
  <c r="AA64" i="4" s="1"/>
  <c r="AB64" i="4" s="1"/>
  <c r="AC64" i="4" s="1"/>
  <c r="AD64" i="4" s="1"/>
  <c r="AE64" i="4" s="1"/>
  <c r="AF64" i="4" s="1"/>
  <c r="AG64" i="4" s="1"/>
  <c r="AH64" i="4" s="1"/>
  <c r="AI64" i="4" s="1"/>
  <c r="AJ64" i="4" s="1"/>
  <c r="AK64" i="4" s="1"/>
  <c r="AL64" i="4" s="1"/>
  <c r="O13" i="4"/>
  <c r="N13" i="4"/>
  <c r="M13" i="4"/>
  <c r="L13" i="4"/>
  <c r="K13" i="4"/>
  <c r="J13" i="4"/>
  <c r="I13" i="4"/>
  <c r="H13" i="4"/>
  <c r="G13" i="4"/>
  <c r="F13" i="4"/>
  <c r="E13" i="4"/>
  <c r="D122" i="4"/>
  <c r="E122" i="4" s="1"/>
  <c r="F122" i="4" s="1"/>
  <c r="G122" i="4" s="1"/>
  <c r="H122" i="4" s="1"/>
  <c r="I122" i="4" s="1"/>
  <c r="J122" i="4" s="1"/>
  <c r="K122" i="4" s="1"/>
  <c r="L122" i="4" s="1"/>
  <c r="M122" i="4" s="1"/>
  <c r="N122" i="4" s="1"/>
  <c r="O122" i="4" s="1"/>
  <c r="P122" i="4" s="1"/>
  <c r="D118" i="4"/>
  <c r="E118" i="4" s="1"/>
  <c r="F118" i="4" s="1"/>
  <c r="G118" i="4" s="1"/>
  <c r="H118" i="4" s="1"/>
  <c r="I118" i="4" s="1"/>
  <c r="J118" i="4" s="1"/>
  <c r="K118" i="4" s="1"/>
  <c r="L118" i="4" s="1"/>
  <c r="M118" i="4" s="1"/>
  <c r="N118" i="4" s="1"/>
  <c r="O118" i="4" s="1"/>
  <c r="P118" i="4" s="1"/>
  <c r="Q118" i="4" s="1"/>
  <c r="S118" i="4" s="1"/>
  <c r="T118" i="4" s="1"/>
  <c r="U118" i="4" s="1"/>
  <c r="V118" i="4" s="1"/>
  <c r="W118" i="4" s="1"/>
  <c r="X118" i="4" s="1"/>
  <c r="Y118" i="4" s="1"/>
  <c r="Z118" i="4" s="1"/>
  <c r="AA118" i="4" s="1"/>
  <c r="AB118" i="4" s="1"/>
  <c r="AC118" i="4" s="1"/>
  <c r="D110" i="4"/>
  <c r="D111" i="4" s="1"/>
  <c r="G110" i="4" l="1"/>
  <c r="H110" i="4"/>
  <c r="I110" i="4"/>
  <c r="C5" i="25"/>
  <c r="B5" i="25"/>
  <c r="C9" i="25"/>
  <c r="D9" i="25"/>
  <c r="E9" i="25"/>
  <c r="B9" i="25"/>
  <c r="D5" i="25"/>
  <c r="E5" i="25"/>
  <c r="J4" i="25"/>
  <c r="I4" i="25"/>
  <c r="G4" i="25"/>
  <c r="H4" i="25"/>
  <c r="N110" i="4"/>
  <c r="O110" i="4"/>
  <c r="P110" i="4"/>
  <c r="Q110" i="4"/>
  <c r="S110" i="4" s="1"/>
  <c r="T110" i="4" s="1"/>
  <c r="U110" i="4" s="1"/>
  <c r="V110" i="4" s="1"/>
  <c r="W110" i="4" s="1"/>
  <c r="X110" i="4" s="1"/>
  <c r="Y110" i="4" s="1"/>
  <c r="Z110" i="4" s="1"/>
  <c r="AA110" i="4" s="1"/>
  <c r="AB110" i="4" s="1"/>
  <c r="AC110" i="4" s="1"/>
  <c r="AD110" i="4" s="1"/>
  <c r="AE110" i="4" s="1"/>
  <c r="AF110" i="4" s="1"/>
  <c r="AG110" i="4" s="1"/>
  <c r="AH110" i="4" s="1"/>
  <c r="AI110" i="4" s="1"/>
  <c r="AJ110" i="4" s="1"/>
  <c r="AK110" i="4" s="1"/>
  <c r="AL110" i="4" s="1"/>
  <c r="J110" i="4"/>
  <c r="K110" i="4"/>
  <c r="L110" i="4"/>
  <c r="M110" i="4"/>
  <c r="E110" i="4"/>
  <c r="F110" i="4"/>
  <c r="AD118" i="4"/>
  <c r="AE123" i="4"/>
  <c r="AF123" i="4" s="1"/>
  <c r="AG123" i="4" s="1"/>
  <c r="AH123" i="4" s="1"/>
  <c r="AI123" i="4" s="1"/>
  <c r="AJ123" i="4" s="1"/>
  <c r="AK123" i="4" s="1"/>
  <c r="AL123" i="4" s="1"/>
  <c r="Q122" i="4"/>
  <c r="S122" i="4" s="1"/>
  <c r="T122" i="4" s="1"/>
  <c r="U122" i="4" s="1"/>
  <c r="V122" i="4" s="1"/>
  <c r="W122" i="4" s="1"/>
  <c r="X122" i="4" s="1"/>
  <c r="Y122" i="4" s="1"/>
  <c r="Z122" i="4" s="1"/>
  <c r="AA122" i="4" s="1"/>
  <c r="AB122" i="4" s="1"/>
  <c r="AC122" i="4" s="1"/>
  <c r="AD122" i="4" s="1"/>
  <c r="AE122" i="4" s="1"/>
  <c r="AF122" i="4" s="1"/>
  <c r="AG122" i="4" s="1"/>
  <c r="AH122" i="4" s="1"/>
  <c r="AI122" i="4" s="1"/>
  <c r="AJ122" i="4" s="1"/>
  <c r="AK122" i="4" s="1"/>
  <c r="AL122" i="4" s="1"/>
  <c r="AE118" i="4" l="1"/>
  <c r="T5" i="4"/>
  <c r="AZ24" i="13"/>
  <c r="X32" i="23"/>
  <c r="X35" i="23"/>
  <c r="X34" i="23"/>
  <c r="O33" i="23"/>
  <c r="O32" i="23"/>
  <c r="H30" i="23"/>
  <c r="H29" i="23"/>
  <c r="H28" i="23"/>
  <c r="H27" i="23"/>
  <c r="AO62" i="23"/>
  <c r="AM66" i="23"/>
  <c r="AM65" i="23"/>
  <c r="AM64" i="23"/>
  <c r="AM63" i="23"/>
  <c r="AM61" i="23"/>
  <c r="AM60" i="23"/>
  <c r="AH47" i="23"/>
  <c r="AG14" i="23"/>
  <c r="AH13" i="23"/>
  <c r="AE13" i="23"/>
  <c r="AE12" i="23"/>
  <c r="AH12" i="23"/>
  <c r="AD7" i="23"/>
  <c r="J16" i="23"/>
  <c r="J15" i="23"/>
  <c r="J14" i="23"/>
  <c r="J13" i="23"/>
  <c r="J12" i="23"/>
  <c r="B5" i="23"/>
  <c r="AN6" i="23"/>
  <c r="AN7" i="23" s="1"/>
  <c r="AN8" i="23" s="1"/>
  <c r="AN9" i="23" s="1"/>
  <c r="AN10" i="23" s="1"/>
  <c r="AN11" i="23" s="1"/>
  <c r="AN12" i="23" s="1"/>
  <c r="AN13" i="23" s="1"/>
  <c r="AN14" i="23" s="1"/>
  <c r="AN15" i="23" s="1"/>
  <c r="AN16" i="23" s="1"/>
  <c r="AN17" i="23"/>
  <c r="D13" i="22"/>
  <c r="D12" i="22"/>
  <c r="G8" i="22"/>
  <c r="H8" i="22" s="1"/>
  <c r="J8" i="22" s="1"/>
  <c r="D8" i="22"/>
  <c r="G7" i="22"/>
  <c r="H7" i="22" s="1"/>
  <c r="J7" i="22" s="1"/>
  <c r="D7" i="22"/>
  <c r="G11" i="22"/>
  <c r="D11" i="22"/>
  <c r="G10" i="22"/>
  <c r="H10" i="22" s="1"/>
  <c r="J10" i="22" s="1"/>
  <c r="D10" i="22"/>
  <c r="G9" i="22"/>
  <c r="H9" i="22" s="1"/>
  <c r="J9" i="22" s="1"/>
  <c r="D9" i="22"/>
  <c r="G6" i="22"/>
  <c r="H6" i="22" s="1"/>
  <c r="J6" i="22" s="1"/>
  <c r="D6" i="22"/>
  <c r="G5" i="22"/>
  <c r="D5" i="22"/>
  <c r="G4" i="22"/>
  <c r="D4" i="22"/>
  <c r="J13" i="22"/>
  <c r="G13" i="22"/>
  <c r="J5" i="22"/>
  <c r="U5" i="4" l="1"/>
  <c r="BG119" i="4"/>
  <c r="BG133" i="4"/>
  <c r="BG126" i="4"/>
  <c r="BU126" i="4"/>
  <c r="BU119" i="4"/>
  <c r="AF118" i="4"/>
  <c r="T4" i="4"/>
  <c r="H11" i="22"/>
  <c r="J11" i="22" s="1"/>
  <c r="V5" i="4" l="1"/>
  <c r="BH133" i="4"/>
  <c r="BH126" i="4"/>
  <c r="BV126" i="4"/>
  <c r="BV119" i="4"/>
  <c r="BH119" i="4"/>
  <c r="U4" i="4"/>
  <c r="AG118" i="4"/>
  <c r="H4" i="22"/>
  <c r="W5" i="4" l="1"/>
  <c r="BW126" i="4"/>
  <c r="BW119" i="4"/>
  <c r="BI133" i="4"/>
  <c r="BI126" i="4"/>
  <c r="BI119" i="4"/>
  <c r="V4" i="4"/>
  <c r="AH118" i="4"/>
  <c r="J4" i="22"/>
  <c r="X5" i="4" l="1"/>
  <c r="BJ126" i="4"/>
  <c r="BJ133" i="4"/>
  <c r="BJ119" i="4"/>
  <c r="C1" i="25" s="1"/>
  <c r="H1" i="25" s="1"/>
  <c r="BX126" i="4"/>
  <c r="BX119" i="4"/>
  <c r="W4" i="4"/>
  <c r="AI118" i="4"/>
  <c r="Z17" i="3"/>
  <c r="AQ159" i="3"/>
  <c r="AN159" i="3"/>
  <c r="AJ159" i="3"/>
  <c r="AF159" i="3"/>
  <c r="AQ150" i="3"/>
  <c r="AQ149" i="3"/>
  <c r="AQ148" i="3"/>
  <c r="AQ147" i="3"/>
  <c r="AQ146" i="3"/>
  <c r="AR145" i="3"/>
  <c r="AQ145" i="3"/>
  <c r="AQ144" i="3"/>
  <c r="AQ143" i="3"/>
  <c r="AQ142" i="3"/>
  <c r="AQ141" i="3"/>
  <c r="AQ140" i="3"/>
  <c r="AR139" i="3"/>
  <c r="AQ139" i="3"/>
  <c r="AQ138" i="3"/>
  <c r="AQ137" i="3"/>
  <c r="AF131" i="3"/>
  <c r="AN158" i="3"/>
  <c r="AQ158" i="3" s="1"/>
  <c r="P47" i="20"/>
  <c r="O47" i="20"/>
  <c r="N47" i="20"/>
  <c r="M47" i="20"/>
  <c r="L47" i="20"/>
  <c r="K47" i="20"/>
  <c r="J47" i="20"/>
  <c r="I47" i="20"/>
  <c r="H47" i="20"/>
  <c r="G47" i="20"/>
  <c r="F47" i="20"/>
  <c r="P42" i="20"/>
  <c r="O42" i="20"/>
  <c r="N42" i="20"/>
  <c r="M42" i="20"/>
  <c r="L42" i="20"/>
  <c r="K42" i="20"/>
  <c r="J42" i="20"/>
  <c r="I42" i="20"/>
  <c r="H42" i="20"/>
  <c r="G42" i="20"/>
  <c r="F42" i="20"/>
  <c r="P37" i="20"/>
  <c r="O37" i="20"/>
  <c r="N37" i="20"/>
  <c r="M37" i="20"/>
  <c r="L37" i="20"/>
  <c r="K37" i="20"/>
  <c r="J37" i="20"/>
  <c r="I37" i="20"/>
  <c r="H37" i="20"/>
  <c r="G37" i="20"/>
  <c r="F37" i="20"/>
  <c r="P45" i="20"/>
  <c r="O45" i="20"/>
  <c r="N45" i="20"/>
  <c r="M45" i="20"/>
  <c r="L45" i="20"/>
  <c r="K45" i="20"/>
  <c r="J45" i="20"/>
  <c r="I45" i="20"/>
  <c r="H45" i="20"/>
  <c r="G45" i="20"/>
  <c r="F45" i="20"/>
  <c r="E45" i="20"/>
  <c r="O14" i="21"/>
  <c r="K14" i="21"/>
  <c r="G14" i="21"/>
  <c r="C14" i="21"/>
  <c r="F8" i="21"/>
  <c r="F7" i="21"/>
  <c r="E8" i="21"/>
  <c r="E7" i="21"/>
  <c r="D8" i="21"/>
  <c r="D7" i="21"/>
  <c r="D6" i="21"/>
  <c r="C8" i="21"/>
  <c r="C7" i="21"/>
  <c r="F2" i="21"/>
  <c r="E2" i="21"/>
  <c r="D2" i="21"/>
  <c r="C2" i="21"/>
  <c r="D19" i="19"/>
  <c r="N8" i="19" s="1"/>
  <c r="C19" i="19"/>
  <c r="D8" i="19"/>
  <c r="C8" i="19"/>
  <c r="D18" i="19"/>
  <c r="D17" i="19"/>
  <c r="D16" i="19"/>
  <c r="D15" i="19"/>
  <c r="D14" i="19"/>
  <c r="C18" i="19"/>
  <c r="C17" i="19"/>
  <c r="C16" i="19"/>
  <c r="C15" i="19"/>
  <c r="C14" i="19"/>
  <c r="D11" i="19"/>
  <c r="N7" i="19" s="1"/>
  <c r="C11" i="19"/>
  <c r="D10" i="19"/>
  <c r="C10" i="19"/>
  <c r="D9" i="19"/>
  <c r="C9" i="19"/>
  <c r="Z8" i="3"/>
  <c r="B29" i="1"/>
  <c r="B28" i="1"/>
  <c r="C7" i="19"/>
  <c r="C6" i="19"/>
  <c r="C4" i="19"/>
  <c r="R24" i="17"/>
  <c r="AK146" i="3"/>
  <c r="AJ146" i="3"/>
  <c r="E1" i="13"/>
  <c r="F1" i="13" s="1"/>
  <c r="G1" i="13" s="1"/>
  <c r="H1" i="13" s="1"/>
  <c r="I1" i="13" s="1"/>
  <c r="J1" i="13" s="1"/>
  <c r="K1" i="13" s="1"/>
  <c r="L1" i="13" s="1"/>
  <c r="M1" i="13" s="1"/>
  <c r="N1" i="13" s="1"/>
  <c r="O1" i="13" s="1"/>
  <c r="U21" i="17"/>
  <c r="U20" i="17"/>
  <c r="U18" i="17"/>
  <c r="U17" i="17"/>
  <c r="U15" i="17"/>
  <c r="U14" i="17"/>
  <c r="U13" i="17"/>
  <c r="U12" i="17"/>
  <c r="U11" i="17"/>
  <c r="H22" i="17"/>
  <c r="R22" i="17" s="1"/>
  <c r="AB147" i="3"/>
  <c r="AN66" i="23" s="1"/>
  <c r="R10" i="17"/>
  <c r="H24" i="17"/>
  <c r="H21" i="17"/>
  <c r="R21" i="17" s="1"/>
  <c r="H20" i="17"/>
  <c r="R20" i="17" s="1"/>
  <c r="H18" i="17"/>
  <c r="R18" i="17" s="1"/>
  <c r="H17" i="17"/>
  <c r="R17" i="17" s="1"/>
  <c r="H12" i="17"/>
  <c r="R12" i="17" s="1"/>
  <c r="H13" i="17"/>
  <c r="R13" i="17" s="1"/>
  <c r="H14" i="17"/>
  <c r="R14" i="17" s="1"/>
  <c r="H15" i="17"/>
  <c r="R15" i="17" s="1"/>
  <c r="H11" i="17"/>
  <c r="AB146" i="3"/>
  <c r="AN65" i="23" s="1"/>
  <c r="AB145" i="3"/>
  <c r="AN64" i="23" s="1"/>
  <c r="AB144" i="3"/>
  <c r="AB143" i="3"/>
  <c r="AN63" i="23" s="1"/>
  <c r="AB142" i="3"/>
  <c r="K30" i="23" s="1"/>
  <c r="AB141" i="3"/>
  <c r="K29" i="23" s="1"/>
  <c r="AB140" i="3"/>
  <c r="K28" i="23" s="1"/>
  <c r="AB139" i="3"/>
  <c r="K27" i="23" s="1"/>
  <c r="AB138" i="3"/>
  <c r="AN61" i="23" s="1"/>
  <c r="AB137" i="3"/>
  <c r="AN60" i="23" s="1"/>
  <c r="B38" i="7"/>
  <c r="P36" i="20"/>
  <c r="P35" i="20" s="1"/>
  <c r="P41" i="20" s="1"/>
  <c r="O36" i="20"/>
  <c r="O35" i="20" s="1"/>
  <c r="O41" i="20" s="1"/>
  <c r="N36" i="20"/>
  <c r="N35" i="20" s="1"/>
  <c r="N41" i="20" s="1"/>
  <c r="M36" i="20"/>
  <c r="M35" i="20" s="1"/>
  <c r="M41" i="20" s="1"/>
  <c r="L36" i="20"/>
  <c r="L35" i="20" s="1"/>
  <c r="L41" i="20" s="1"/>
  <c r="K36" i="20"/>
  <c r="K35" i="20" s="1"/>
  <c r="K41" i="20" s="1"/>
  <c r="J36" i="20"/>
  <c r="J35" i="20" s="1"/>
  <c r="J41" i="20" s="1"/>
  <c r="I36" i="20"/>
  <c r="I35" i="20" s="1"/>
  <c r="I41" i="20" s="1"/>
  <c r="H36" i="20"/>
  <c r="H35" i="20" s="1"/>
  <c r="H41" i="20" s="1"/>
  <c r="G36" i="20"/>
  <c r="G35" i="20" s="1"/>
  <c r="G41" i="20" s="1"/>
  <c r="F36" i="20"/>
  <c r="F35" i="20" s="1"/>
  <c r="F41" i="20" s="1"/>
  <c r="E36" i="20"/>
  <c r="E35" i="20" s="1"/>
  <c r="E41" i="20" s="1"/>
  <c r="P40" i="20"/>
  <c r="O40" i="20"/>
  <c r="N40" i="20"/>
  <c r="M40" i="20"/>
  <c r="L40" i="20"/>
  <c r="K40" i="20"/>
  <c r="J40" i="20"/>
  <c r="I40" i="20"/>
  <c r="H40" i="20"/>
  <c r="G40" i="20"/>
  <c r="F40" i="20"/>
  <c r="E40" i="20"/>
  <c r="P34" i="20"/>
  <c r="O34" i="20"/>
  <c r="N34" i="20"/>
  <c r="M34" i="20"/>
  <c r="L34" i="20"/>
  <c r="K34" i="20"/>
  <c r="J34" i="20"/>
  <c r="I34" i="20"/>
  <c r="H34" i="20"/>
  <c r="G34" i="20"/>
  <c r="F34" i="20"/>
  <c r="E34" i="20"/>
  <c r="P33" i="20"/>
  <c r="O33" i="20"/>
  <c r="N33" i="20"/>
  <c r="M33" i="20"/>
  <c r="L33" i="20"/>
  <c r="K33" i="20"/>
  <c r="J33" i="20"/>
  <c r="I33" i="20"/>
  <c r="H33" i="20"/>
  <c r="G33" i="20"/>
  <c r="F33" i="20"/>
  <c r="E33" i="20"/>
  <c r="BS93" i="4"/>
  <c r="BS87" i="4"/>
  <c r="BE111" i="4"/>
  <c r="BE104" i="4"/>
  <c r="BS81" i="4"/>
  <c r="BS74" i="4"/>
  <c r="C50" i="20"/>
  <c r="C48" i="20"/>
  <c r="C43" i="20"/>
  <c r="C38" i="20"/>
  <c r="P24" i="20"/>
  <c r="P52" i="20" s="1"/>
  <c r="O24" i="20"/>
  <c r="O52" i="20" s="1"/>
  <c r="N24" i="20"/>
  <c r="N52" i="20" s="1"/>
  <c r="M24" i="20"/>
  <c r="M52" i="20" s="1"/>
  <c r="L24" i="20"/>
  <c r="L52" i="20" s="1"/>
  <c r="K24" i="20"/>
  <c r="K52" i="20" s="1"/>
  <c r="J24" i="20"/>
  <c r="J52" i="20" s="1"/>
  <c r="I24" i="20"/>
  <c r="I52" i="20" s="1"/>
  <c r="H24" i="20"/>
  <c r="H52" i="20" s="1"/>
  <c r="G24" i="20"/>
  <c r="G52" i="20" s="1"/>
  <c r="F24" i="20"/>
  <c r="F52" i="20" s="1"/>
  <c r="E24" i="20"/>
  <c r="E52" i="20" s="1"/>
  <c r="P23" i="20"/>
  <c r="O23" i="20"/>
  <c r="N23" i="20"/>
  <c r="M23" i="20"/>
  <c r="L23" i="20"/>
  <c r="K23" i="20"/>
  <c r="J23" i="20"/>
  <c r="I23" i="20"/>
  <c r="H23" i="20"/>
  <c r="G23" i="20"/>
  <c r="F23" i="20"/>
  <c r="E23" i="20"/>
  <c r="BE98" i="4"/>
  <c r="Q52" i="4"/>
  <c r="P19" i="20"/>
  <c r="P50" i="20" s="1"/>
  <c r="O19" i="20"/>
  <c r="O50" i="20" s="1"/>
  <c r="N19" i="20"/>
  <c r="N50" i="20" s="1"/>
  <c r="M19" i="20"/>
  <c r="M50" i="20" s="1"/>
  <c r="L19" i="20"/>
  <c r="L50" i="20" s="1"/>
  <c r="K19" i="20"/>
  <c r="K50" i="20" s="1"/>
  <c r="J19" i="20"/>
  <c r="J50" i="20" s="1"/>
  <c r="I19" i="20"/>
  <c r="I50" i="20" s="1"/>
  <c r="H19" i="20"/>
  <c r="H50" i="20" s="1"/>
  <c r="G19" i="20"/>
  <c r="G50" i="20" s="1"/>
  <c r="F19" i="20"/>
  <c r="F50" i="20" s="1"/>
  <c r="E19" i="20"/>
  <c r="E50" i="20" s="1"/>
  <c r="P18" i="20"/>
  <c r="O18" i="20"/>
  <c r="N18" i="20"/>
  <c r="M18" i="20"/>
  <c r="L18" i="20"/>
  <c r="K18" i="20"/>
  <c r="J18" i="20"/>
  <c r="I18" i="20"/>
  <c r="H18" i="20"/>
  <c r="G18" i="20"/>
  <c r="F18" i="20"/>
  <c r="E18" i="20"/>
  <c r="P14" i="20"/>
  <c r="P48" i="20" s="1"/>
  <c r="O14" i="20"/>
  <c r="O48" i="20" s="1"/>
  <c r="N14" i="20"/>
  <c r="N48" i="20" s="1"/>
  <c r="M14" i="20"/>
  <c r="M48" i="20" s="1"/>
  <c r="L14" i="20"/>
  <c r="L48" i="20" s="1"/>
  <c r="K14" i="20"/>
  <c r="K48" i="20" s="1"/>
  <c r="J14" i="20"/>
  <c r="J48" i="20" s="1"/>
  <c r="I14" i="20"/>
  <c r="I48" i="20" s="1"/>
  <c r="H14" i="20"/>
  <c r="H48" i="20" s="1"/>
  <c r="G14" i="20"/>
  <c r="G48" i="20" s="1"/>
  <c r="F14" i="20"/>
  <c r="F48" i="20" s="1"/>
  <c r="E14" i="20"/>
  <c r="E48" i="20" s="1"/>
  <c r="P13" i="20"/>
  <c r="O13" i="20"/>
  <c r="N13" i="20"/>
  <c r="M13" i="20"/>
  <c r="L13" i="20"/>
  <c r="K13" i="20"/>
  <c r="J13" i="20"/>
  <c r="I13" i="20"/>
  <c r="H13" i="20"/>
  <c r="G13" i="20"/>
  <c r="F13" i="20"/>
  <c r="E13" i="20"/>
  <c r="B8" i="20"/>
  <c r="B13" i="20" s="1"/>
  <c r="B18" i="20" s="1"/>
  <c r="B23" i="20" s="1"/>
  <c r="P9" i="20"/>
  <c r="P43" i="20" s="1"/>
  <c r="O9" i="20"/>
  <c r="O43" i="20" s="1"/>
  <c r="N9" i="20"/>
  <c r="N43" i="20" s="1"/>
  <c r="M9" i="20"/>
  <c r="M43" i="20" s="1"/>
  <c r="L9" i="20"/>
  <c r="L43" i="20" s="1"/>
  <c r="K9" i="20"/>
  <c r="K43" i="20" s="1"/>
  <c r="J9" i="20"/>
  <c r="J43" i="20" s="1"/>
  <c r="I9" i="20"/>
  <c r="I43" i="20" s="1"/>
  <c r="H9" i="20"/>
  <c r="H43" i="20" s="1"/>
  <c r="G9" i="20"/>
  <c r="G43" i="20" s="1"/>
  <c r="F9" i="20"/>
  <c r="F43" i="20" s="1"/>
  <c r="E9" i="20"/>
  <c r="E43" i="20" s="1"/>
  <c r="P8" i="20"/>
  <c r="O8" i="20"/>
  <c r="N8" i="20"/>
  <c r="M8" i="20"/>
  <c r="L8" i="20"/>
  <c r="K8" i="20"/>
  <c r="J8" i="20"/>
  <c r="I8" i="20"/>
  <c r="H8" i="20"/>
  <c r="G8" i="20"/>
  <c r="F8" i="20"/>
  <c r="E8" i="20"/>
  <c r="P4" i="20"/>
  <c r="P38" i="20" s="1"/>
  <c r="O4" i="20"/>
  <c r="O38" i="20" s="1"/>
  <c r="N4" i="20"/>
  <c r="N38" i="20" s="1"/>
  <c r="M4" i="20"/>
  <c r="M38" i="20" s="1"/>
  <c r="L4" i="20"/>
  <c r="L38" i="20" s="1"/>
  <c r="K4" i="20"/>
  <c r="K38" i="20" s="1"/>
  <c r="J4" i="20"/>
  <c r="J38" i="20" s="1"/>
  <c r="I4" i="20"/>
  <c r="I38" i="20" s="1"/>
  <c r="H4" i="20"/>
  <c r="H38" i="20" s="1"/>
  <c r="G4" i="20"/>
  <c r="G38" i="20" s="1"/>
  <c r="F4" i="20"/>
  <c r="F38" i="20" s="1"/>
  <c r="E4" i="20"/>
  <c r="E38" i="20" s="1"/>
  <c r="P3" i="20"/>
  <c r="O3" i="20"/>
  <c r="N3" i="20"/>
  <c r="M3" i="20"/>
  <c r="L3" i="20"/>
  <c r="K3" i="20"/>
  <c r="J3" i="20"/>
  <c r="I3" i="20"/>
  <c r="H3" i="20"/>
  <c r="G3" i="20"/>
  <c r="F3" i="20"/>
  <c r="E3" i="20"/>
  <c r="X4" i="4" l="1"/>
  <c r="Y5" i="4"/>
  <c r="BK119" i="4"/>
  <c r="BK133" i="4"/>
  <c r="BY119" i="4"/>
  <c r="BY126" i="4"/>
  <c r="BK126" i="4"/>
  <c r="AJ118" i="4"/>
  <c r="AB159" i="3"/>
  <c r="AN62" i="23" s="1"/>
  <c r="AN67" i="23" s="1"/>
  <c r="C13" i="18"/>
  <c r="AE34" i="23" s="1"/>
  <c r="AQ151" i="3"/>
  <c r="AL146" i="3"/>
  <c r="AB158" i="3"/>
  <c r="I17" i="21"/>
  <c r="I19" i="21" s="1"/>
  <c r="H18" i="19"/>
  <c r="H19" i="19"/>
  <c r="H14" i="19"/>
  <c r="H15" i="19"/>
  <c r="H17" i="19"/>
  <c r="N9" i="19"/>
  <c r="H16" i="19"/>
  <c r="H8" i="19"/>
  <c r="E19" i="19"/>
  <c r="H9" i="19"/>
  <c r="H11" i="19"/>
  <c r="H10" i="19"/>
  <c r="R11" i="17"/>
  <c r="AB148" i="3"/>
  <c r="L46" i="20"/>
  <c r="I46" i="20"/>
  <c r="J46" i="20"/>
  <c r="K46" i="20"/>
  <c r="E46" i="20"/>
  <c r="H46" i="20"/>
  <c r="M46" i="20"/>
  <c r="N46" i="20"/>
  <c r="O46" i="20"/>
  <c r="F46" i="20"/>
  <c r="G46" i="20"/>
  <c r="P46" i="20"/>
  <c r="H88" i="19"/>
  <c r="E64" i="19"/>
  <c r="E62" i="19"/>
  <c r="E61" i="19"/>
  <c r="E60" i="19"/>
  <c r="E73" i="19"/>
  <c r="E72" i="19"/>
  <c r="E71" i="19"/>
  <c r="C77" i="19"/>
  <c r="C75" i="19"/>
  <c r="D74" i="19"/>
  <c r="C74" i="19"/>
  <c r="D73" i="19"/>
  <c r="D72" i="19"/>
  <c r="B54" i="1"/>
  <c r="AG11" i="3" s="1"/>
  <c r="A53" i="1"/>
  <c r="C73" i="19" s="1"/>
  <c r="A52" i="1"/>
  <c r="C72" i="19" s="1"/>
  <c r="E69" i="19"/>
  <c r="E68" i="19"/>
  <c r="B43" i="1"/>
  <c r="C67" i="19"/>
  <c r="E66" i="19"/>
  <c r="E65" i="19"/>
  <c r="Y4" i="4" l="1"/>
  <c r="Z5" i="4"/>
  <c r="BZ119" i="4"/>
  <c r="BL119" i="4"/>
  <c r="BL133" i="4"/>
  <c r="BZ126" i="4"/>
  <c r="BL126" i="4"/>
  <c r="AK118" i="4"/>
  <c r="AC137" i="3"/>
  <c r="B22" i="23"/>
  <c r="AC142" i="3"/>
  <c r="AC141" i="3"/>
  <c r="AC140" i="3"/>
  <c r="AC146" i="3"/>
  <c r="AC143" i="3"/>
  <c r="AC139" i="3"/>
  <c r="AC145" i="3"/>
  <c r="AC147" i="3"/>
  <c r="AC138" i="3"/>
  <c r="AC144" i="3"/>
  <c r="E54" i="1"/>
  <c r="E74" i="19" s="1"/>
  <c r="AG146" i="3"/>
  <c r="AF146" i="3"/>
  <c r="E43" i="1"/>
  <c r="C66" i="19"/>
  <c r="C60" i="19"/>
  <c r="C51" i="19"/>
  <c r="C50" i="19"/>
  <c r="C47" i="19"/>
  <c r="B26" i="1"/>
  <c r="B21" i="1"/>
  <c r="D42" i="19" s="1"/>
  <c r="C40" i="19"/>
  <c r="C71" i="19"/>
  <c r="C70" i="19"/>
  <c r="C65" i="19"/>
  <c r="C64" i="19"/>
  <c r="D63" i="19"/>
  <c r="C63" i="19"/>
  <c r="D62" i="19"/>
  <c r="C62" i="19"/>
  <c r="D61" i="19"/>
  <c r="C61" i="19"/>
  <c r="D60" i="19"/>
  <c r="C57" i="19"/>
  <c r="C56" i="19"/>
  <c r="C55" i="19"/>
  <c r="C54" i="19"/>
  <c r="C52" i="19"/>
  <c r="D51" i="19"/>
  <c r="D50" i="19"/>
  <c r="C49" i="19"/>
  <c r="D48" i="19"/>
  <c r="C48" i="19"/>
  <c r="D46" i="19"/>
  <c r="C46" i="19"/>
  <c r="D45" i="19"/>
  <c r="C45" i="19"/>
  <c r="C44" i="19"/>
  <c r="C43" i="19"/>
  <c r="C42" i="19"/>
  <c r="D41" i="19"/>
  <c r="C41" i="19"/>
  <c r="C39" i="19"/>
  <c r="E38" i="19"/>
  <c r="C38" i="19"/>
  <c r="E37" i="19"/>
  <c r="C37" i="19"/>
  <c r="E36" i="19"/>
  <c r="D36" i="19"/>
  <c r="D88" i="19" s="1"/>
  <c r="D89" i="19" s="1"/>
  <c r="C36" i="19"/>
  <c r="C35" i="19"/>
  <c r="C34" i="19"/>
  <c r="E33" i="19"/>
  <c r="D33" i="19"/>
  <c r="C33" i="19"/>
  <c r="E32" i="19"/>
  <c r="H86" i="19" s="1"/>
  <c r="C32" i="19"/>
  <c r="C86" i="19" s="1"/>
  <c r="E31" i="19"/>
  <c r="H85" i="19" s="1"/>
  <c r="D31" i="19"/>
  <c r="D85" i="19" s="1"/>
  <c r="C31" i="19"/>
  <c r="C85" i="19" s="1"/>
  <c r="C30" i="19"/>
  <c r="E29" i="19"/>
  <c r="H83" i="19" s="1"/>
  <c r="D29" i="19"/>
  <c r="D83" i="19" s="1"/>
  <c r="C29" i="19"/>
  <c r="C83" i="19" s="1"/>
  <c r="E28" i="19"/>
  <c r="H82" i="19" s="1"/>
  <c r="D28" i="19"/>
  <c r="D82" i="19" s="1"/>
  <c r="C28" i="19"/>
  <c r="C82" i="19" s="1"/>
  <c r="AA5" i="4" l="1"/>
  <c r="BM133" i="4"/>
  <c r="BM126" i="4"/>
  <c r="CA126" i="4"/>
  <c r="CA119" i="4"/>
  <c r="BM119" i="4"/>
  <c r="Z4" i="4"/>
  <c r="AL118" i="4"/>
  <c r="AH146" i="3"/>
  <c r="D84" i="19"/>
  <c r="C88" i="19"/>
  <c r="D47" i="19"/>
  <c r="BE92" i="4"/>
  <c r="F115" i="4"/>
  <c r="G115" i="4" s="1"/>
  <c r="H115" i="4" s="1"/>
  <c r="I115" i="4" s="1"/>
  <c r="J115" i="4" s="1"/>
  <c r="K115" i="4" s="1"/>
  <c r="L115" i="4" s="1"/>
  <c r="M115" i="4" s="1"/>
  <c r="N115" i="4" s="1"/>
  <c r="O115" i="4" s="1"/>
  <c r="P115" i="4" s="1"/>
  <c r="P113" i="4"/>
  <c r="BE86" i="4"/>
  <c r="BE80" i="4"/>
  <c r="BE74" i="4"/>
  <c r="BP75" i="4"/>
  <c r="CD113" i="4" s="1"/>
  <c r="BO75" i="4"/>
  <c r="CC113" i="4" s="1"/>
  <c r="BN75" i="4"/>
  <c r="CB113" i="4" s="1"/>
  <c r="BM75" i="4"/>
  <c r="CA113" i="4" s="1"/>
  <c r="BL75" i="4"/>
  <c r="BZ113" i="4" s="1"/>
  <c r="BK75" i="4"/>
  <c r="BY113" i="4" s="1"/>
  <c r="BJ75" i="4"/>
  <c r="BX113" i="4" s="1"/>
  <c r="BI75" i="4"/>
  <c r="BW113" i="4" s="1"/>
  <c r="BH75" i="4"/>
  <c r="BV113" i="4" s="1"/>
  <c r="BG75" i="4"/>
  <c r="BU113" i="4" s="1"/>
  <c r="BF75" i="4"/>
  <c r="BT113" i="4" s="1"/>
  <c r="BE75" i="4"/>
  <c r="BS113" i="4" s="1"/>
  <c r="AW26" i="13"/>
  <c r="AY26" i="13"/>
  <c r="W94" i="3"/>
  <c r="D32" i="19"/>
  <c r="D86" i="19" s="1"/>
  <c r="D87" i="19" s="1"/>
  <c r="AB5" i="4" l="1"/>
  <c r="BN119" i="4"/>
  <c r="BN133" i="4"/>
  <c r="BN126" i="4"/>
  <c r="CB126" i="4"/>
  <c r="CB119" i="4"/>
  <c r="AA4" i="4"/>
  <c r="AB4" i="4" s="1"/>
  <c r="BV94" i="4"/>
  <c r="BV107" i="4"/>
  <c r="BV100" i="4"/>
  <c r="CB94" i="4"/>
  <c r="CB107" i="4"/>
  <c r="CB100" i="4"/>
  <c r="CC94" i="4"/>
  <c r="CC107" i="4"/>
  <c r="CC100" i="4"/>
  <c r="CD94" i="4"/>
  <c r="CD107" i="4"/>
  <c r="CD100" i="4"/>
  <c r="BS94" i="4"/>
  <c r="BS107" i="4"/>
  <c r="BS100" i="4"/>
  <c r="BT94" i="4"/>
  <c r="BT107" i="4"/>
  <c r="BT100" i="4"/>
  <c r="BU94" i="4"/>
  <c r="BU107" i="4"/>
  <c r="BU100" i="4"/>
  <c r="BW94" i="4"/>
  <c r="BW107" i="4"/>
  <c r="BW100" i="4"/>
  <c r="BY94" i="4"/>
  <c r="BY107" i="4"/>
  <c r="BY100" i="4"/>
  <c r="BX94" i="4"/>
  <c r="BX107" i="4"/>
  <c r="BX100" i="4"/>
  <c r="BZ94" i="4"/>
  <c r="BZ100" i="4"/>
  <c r="BZ107" i="4"/>
  <c r="CA94" i="4"/>
  <c r="CA107" i="4"/>
  <c r="CA100" i="4"/>
  <c r="BS88" i="4"/>
  <c r="BE112" i="4"/>
  <c r="BE105" i="4"/>
  <c r="BF112" i="4"/>
  <c r="BF105" i="4"/>
  <c r="BT88" i="4"/>
  <c r="BT82" i="4"/>
  <c r="BG112" i="4"/>
  <c r="BG105" i="4"/>
  <c r="BU88" i="4"/>
  <c r="BU82" i="4"/>
  <c r="BH112" i="4"/>
  <c r="BH105" i="4"/>
  <c r="BV88" i="4"/>
  <c r="BV82" i="4"/>
  <c r="BI81" i="4"/>
  <c r="I7" i="20" s="1"/>
  <c r="BI112" i="4"/>
  <c r="BI105" i="4"/>
  <c r="BW88" i="4"/>
  <c r="BW82" i="4"/>
  <c r="BJ112" i="4"/>
  <c r="BJ105" i="4"/>
  <c r="BX88" i="4"/>
  <c r="BX82" i="4"/>
  <c r="BK87" i="4"/>
  <c r="K12" i="20" s="1"/>
  <c r="BK112" i="4"/>
  <c r="BK105" i="4"/>
  <c r="BY88" i="4"/>
  <c r="BY82" i="4"/>
  <c r="BH87" i="4"/>
  <c r="H12" i="20" s="1"/>
  <c r="BL112" i="4"/>
  <c r="BL105" i="4"/>
  <c r="BZ88" i="4"/>
  <c r="BZ82" i="4"/>
  <c r="BH81" i="4"/>
  <c r="H7" i="20" s="1"/>
  <c r="BM112" i="4"/>
  <c r="BM105" i="4"/>
  <c r="CA88" i="4"/>
  <c r="CA82" i="4"/>
  <c r="BH93" i="4"/>
  <c r="H17" i="20" s="1"/>
  <c r="BN112" i="4"/>
  <c r="BN105" i="4"/>
  <c r="CB88" i="4"/>
  <c r="CB82" i="4"/>
  <c r="BO112" i="4"/>
  <c r="BO105" i="4"/>
  <c r="CC88" i="4"/>
  <c r="CC82" i="4"/>
  <c r="BP112" i="4"/>
  <c r="BP105" i="4"/>
  <c r="CD88" i="4"/>
  <c r="CD82" i="4"/>
  <c r="M2" i="20"/>
  <c r="M32" i="20" s="1"/>
  <c r="CA75" i="4"/>
  <c r="BI87" i="4"/>
  <c r="I12" i="20" s="1"/>
  <c r="N2" i="20"/>
  <c r="N32" i="20" s="1"/>
  <c r="CB75" i="4"/>
  <c r="E2" i="20"/>
  <c r="E32" i="20" s="1"/>
  <c r="BS82" i="4"/>
  <c r="BS75" i="4"/>
  <c r="F2" i="20"/>
  <c r="F32" i="20" s="1"/>
  <c r="BT75" i="4"/>
  <c r="I2" i="20"/>
  <c r="I32" i="20" s="1"/>
  <c r="BW75" i="4"/>
  <c r="Q115" i="4"/>
  <c r="S115" i="4" s="1"/>
  <c r="T115" i="4" s="1"/>
  <c r="U115" i="4" s="1"/>
  <c r="V115" i="4" s="1"/>
  <c r="W115" i="4" s="1"/>
  <c r="X115" i="4" s="1"/>
  <c r="Y115" i="4" s="1"/>
  <c r="Z115" i="4" s="1"/>
  <c r="AA115" i="4" s="1"/>
  <c r="AB115" i="4" s="1"/>
  <c r="AC115" i="4" s="1"/>
  <c r="AD115" i="4" s="1"/>
  <c r="AE115" i="4" s="1"/>
  <c r="AF115" i="4" s="1"/>
  <c r="AG115" i="4" s="1"/>
  <c r="AH115" i="4" s="1"/>
  <c r="AI115" i="4" s="1"/>
  <c r="AJ115" i="4" s="1"/>
  <c r="AK115" i="4" s="1"/>
  <c r="AL115" i="4" s="1"/>
  <c r="K2" i="20"/>
  <c r="K32" i="20" s="1"/>
  <c r="BY75" i="4"/>
  <c r="L2" i="20"/>
  <c r="L32" i="20" s="1"/>
  <c r="BZ75" i="4"/>
  <c r="O2" i="20"/>
  <c r="O32" i="20" s="1"/>
  <c r="CC75" i="4"/>
  <c r="P2" i="20"/>
  <c r="P32" i="20" s="1"/>
  <c r="CD75" i="4"/>
  <c r="G2" i="20"/>
  <c r="G32" i="20" s="1"/>
  <c r="BU75" i="4"/>
  <c r="J2" i="20"/>
  <c r="J32" i="20" s="1"/>
  <c r="BX75" i="4"/>
  <c r="H2" i="20"/>
  <c r="H32" i="20" s="1"/>
  <c r="BV75" i="4"/>
  <c r="BK81" i="4"/>
  <c r="BL87" i="4"/>
  <c r="L12" i="20" s="1"/>
  <c r="BM87" i="4"/>
  <c r="M12" i="20" s="1"/>
  <c r="BL81" i="4"/>
  <c r="BM81" i="4"/>
  <c r="BL93" i="4"/>
  <c r="L17" i="20" s="1"/>
  <c r="BI93" i="4"/>
  <c r="I17" i="20" s="1"/>
  <c r="BJ87" i="4"/>
  <c r="J12" i="20" s="1"/>
  <c r="BJ81" i="4"/>
  <c r="BJ93" i="4"/>
  <c r="J17" i="20" s="1"/>
  <c r="BG93" i="4"/>
  <c r="G17" i="20" s="1"/>
  <c r="BK93" i="4"/>
  <c r="K17" i="20" s="1"/>
  <c r="BG81" i="4"/>
  <c r="BM93" i="4"/>
  <c r="M17" i="20" s="1"/>
  <c r="BN87" i="4"/>
  <c r="N12" i="20" s="1"/>
  <c r="BN81" i="4"/>
  <c r="BN93" i="4"/>
  <c r="N17" i="20" s="1"/>
  <c r="BO87" i="4"/>
  <c r="O12" i="20" s="1"/>
  <c r="BO81" i="4"/>
  <c r="BO93" i="4"/>
  <c r="O17" i="20" s="1"/>
  <c r="BP87" i="4"/>
  <c r="P12" i="20" s="1"/>
  <c r="BP81" i="4"/>
  <c r="BP93" i="4"/>
  <c r="P17" i="20" s="1"/>
  <c r="BE87" i="4"/>
  <c r="E12" i="20" s="1"/>
  <c r="BE81" i="4"/>
  <c r="BE93" i="4"/>
  <c r="E17" i="20" s="1"/>
  <c r="BG87" i="4"/>
  <c r="G12" i="20" s="1"/>
  <c r="BF87" i="4"/>
  <c r="F12" i="20" s="1"/>
  <c r="BF81" i="4"/>
  <c r="BF93" i="4"/>
  <c r="F17" i="20" s="1"/>
  <c r="BE26" i="13"/>
  <c r="BE25" i="13"/>
  <c r="BE24" i="13"/>
  <c r="BC26" i="13"/>
  <c r="BC25" i="13"/>
  <c r="BC24" i="13"/>
  <c r="AZ26" i="13"/>
  <c r="AZ25" i="13"/>
  <c r="AX26" i="13"/>
  <c r="AX25" i="13"/>
  <c r="AX24" i="13"/>
  <c r="BB27" i="13"/>
  <c r="D108" i="4"/>
  <c r="D105" i="4"/>
  <c r="E105" i="4" s="1"/>
  <c r="F105" i="4" s="1"/>
  <c r="G105" i="4" s="1"/>
  <c r="H105" i="4" s="1"/>
  <c r="I105" i="4" s="1"/>
  <c r="J105" i="4" s="1"/>
  <c r="K105" i="4" s="1"/>
  <c r="L105" i="4" s="1"/>
  <c r="M105" i="4" s="1"/>
  <c r="N105" i="4" s="1"/>
  <c r="O105" i="4" s="1"/>
  <c r="P105" i="4" s="1"/>
  <c r="BB26" i="13"/>
  <c r="AY27" i="13"/>
  <c r="AY25" i="13"/>
  <c r="BG9" i="4"/>
  <c r="BB9" i="4"/>
  <c r="BG8" i="4" s="1"/>
  <c r="AA27" i="13"/>
  <c r="AH26" i="13"/>
  <c r="U26" i="13" s="1"/>
  <c r="AH25" i="13"/>
  <c r="U25" i="13" s="1"/>
  <c r="AH24" i="13"/>
  <c r="U24" i="13" s="1"/>
  <c r="A44" i="3"/>
  <c r="F93" i="4"/>
  <c r="G93" i="4" s="1"/>
  <c r="H93" i="4" s="1"/>
  <c r="I93" i="4" s="1"/>
  <c r="J93" i="4" s="1"/>
  <c r="K93" i="4" s="1"/>
  <c r="L93" i="4" s="1"/>
  <c r="M93" i="4" s="1"/>
  <c r="N93" i="4" s="1"/>
  <c r="O93" i="4" s="1"/>
  <c r="P93" i="4" s="1"/>
  <c r="B25" i="7"/>
  <c r="AA126" i="3"/>
  <c r="B28" i="7"/>
  <c r="F21" i="7"/>
  <c r="F29" i="7"/>
  <c r="G23" i="7" s="1"/>
  <c r="AB106" i="3"/>
  <c r="AC5" i="4" l="1"/>
  <c r="BO119" i="4"/>
  <c r="D1" i="25" s="1"/>
  <c r="I1" i="25" s="1"/>
  <c r="CC119" i="4"/>
  <c r="BO133" i="4"/>
  <c r="BO126" i="4"/>
  <c r="CC126" i="4"/>
  <c r="BI99" i="4"/>
  <c r="I22" i="20" s="1"/>
  <c r="BH99" i="4"/>
  <c r="H22" i="20" s="1"/>
  <c r="L7" i="20"/>
  <c r="BL99" i="4"/>
  <c r="L22" i="20" s="1"/>
  <c r="P7" i="20"/>
  <c r="BP99" i="4"/>
  <c r="P22" i="20" s="1"/>
  <c r="G7" i="20"/>
  <c r="BG99" i="4"/>
  <c r="G22" i="20" s="1"/>
  <c r="N7" i="20"/>
  <c r="BN99" i="4"/>
  <c r="N22" i="20" s="1"/>
  <c r="E7" i="20"/>
  <c r="BE99" i="4"/>
  <c r="E22" i="20" s="1"/>
  <c r="K7" i="20"/>
  <c r="BK99" i="4"/>
  <c r="K22" i="20" s="1"/>
  <c r="J7" i="20"/>
  <c r="BJ99" i="4"/>
  <c r="J22" i="20" s="1"/>
  <c r="O7" i="20"/>
  <c r="BO99" i="4"/>
  <c r="O22" i="20" s="1"/>
  <c r="F7" i="20"/>
  <c r="BF99" i="4"/>
  <c r="F22" i="20" s="1"/>
  <c r="M7" i="20"/>
  <c r="BM99" i="4"/>
  <c r="M22" i="20" s="1"/>
  <c r="C93" i="19"/>
  <c r="BD27" i="13"/>
  <c r="AP27" i="13" s="1"/>
  <c r="AO27" i="13"/>
  <c r="BD26" i="13"/>
  <c r="AP26" i="13" s="1"/>
  <c r="AO26" i="13"/>
  <c r="AZ30" i="13"/>
  <c r="BA26" i="13"/>
  <c r="BA24" i="13"/>
  <c r="BA25" i="13"/>
  <c r="BF25" i="13"/>
  <c r="BF24" i="13"/>
  <c r="BF26" i="13"/>
  <c r="D98" i="4"/>
  <c r="D109" i="4"/>
  <c r="AY24" i="13"/>
  <c r="B29" i="7"/>
  <c r="X25" i="13"/>
  <c r="A30" i="3"/>
  <c r="AD5" i="4" l="1"/>
  <c r="AE5" i="4" s="1"/>
  <c r="AF5" i="4" s="1"/>
  <c r="AG5" i="4" s="1"/>
  <c r="CD126" i="4"/>
  <c r="CD119" i="4"/>
  <c r="AC4" i="4"/>
  <c r="D86" i="4"/>
  <c r="O89" i="4"/>
  <c r="K89" i="4"/>
  <c r="N89" i="4"/>
  <c r="G89" i="4"/>
  <c r="F89" i="4"/>
  <c r="E89" i="4"/>
  <c r="M89" i="4"/>
  <c r="L89" i="4"/>
  <c r="J89" i="4"/>
  <c r="I89" i="4"/>
  <c r="H89" i="4"/>
  <c r="W100" i="3"/>
  <c r="Z7" i="3"/>
  <c r="W99" i="3" s="1"/>
  <c r="I24" i="13"/>
  <c r="C5" i="14"/>
  <c r="B13" i="13"/>
  <c r="F13" i="13"/>
  <c r="F12" i="13"/>
  <c r="B12" i="13"/>
  <c r="AH5" i="4" l="1"/>
  <c r="AI5" i="4" s="1"/>
  <c r="AJ5" i="4" s="1"/>
  <c r="AK5" i="4" s="1"/>
  <c r="AL5" i="4" s="1"/>
  <c r="AM5" i="4" s="1"/>
  <c r="AN5" i="4" s="1"/>
  <c r="AO5" i="4" s="1"/>
  <c r="AP5" i="4" s="1"/>
  <c r="AQ5" i="4" s="1"/>
  <c r="AR5" i="4" s="1"/>
  <c r="AS5" i="4" s="1"/>
  <c r="AT5" i="4" s="1"/>
  <c r="AU5" i="4" s="1"/>
  <c r="AV5" i="4" s="1"/>
  <c r="BP119" i="4"/>
  <c r="E1" i="25" s="1"/>
  <c r="J1" i="25" s="1"/>
  <c r="BP133" i="4"/>
  <c r="BP126" i="4"/>
  <c r="AD4" i="4"/>
  <c r="AE4" i="4" s="1"/>
  <c r="AF4" i="4" s="1"/>
  <c r="AG4" i="4" s="1"/>
  <c r="AH4" i="4" s="1"/>
  <c r="AI4" i="4" s="1"/>
  <c r="AJ4" i="4" s="1"/>
  <c r="AK4" i="4" s="1"/>
  <c r="AL4" i="4" s="1"/>
  <c r="AM4" i="4" s="1"/>
  <c r="AN4" i="4" s="1"/>
  <c r="AO4" i="4" s="1"/>
  <c r="AP4" i="4" s="1"/>
  <c r="AQ4" i="4" s="1"/>
  <c r="AR4" i="4" s="1"/>
  <c r="AS4" i="4" s="1"/>
  <c r="AT4" i="4" s="1"/>
  <c r="AU4" i="4" s="1"/>
  <c r="AV4" i="4" s="1"/>
  <c r="B33" i="1"/>
  <c r="E26" i="13"/>
  <c r="D52" i="19" l="1"/>
  <c r="D6" i="19"/>
  <c r="H6" i="19" s="1"/>
  <c r="P29" i="4"/>
  <c r="K18" i="4"/>
  <c r="E6" i="21" s="1"/>
  <c r="M17" i="21" s="1"/>
  <c r="M19" i="21" s="1"/>
  <c r="E18" i="4"/>
  <c r="C6" i="21" s="1"/>
  <c r="E17" i="21" s="1"/>
  <c r="E19" i="21" s="1"/>
  <c r="D51" i="4"/>
  <c r="D35" i="4"/>
  <c r="D29" i="4"/>
  <c r="D28" i="4"/>
  <c r="P27" i="4"/>
  <c r="F6" i="21" s="1"/>
  <c r="Q17" i="21" s="1"/>
  <c r="Q19" i="21" s="1"/>
  <c r="E25" i="4"/>
  <c r="F25" i="4" s="1"/>
  <c r="E24" i="4"/>
  <c r="F24" i="4" s="1"/>
  <c r="E23" i="4"/>
  <c r="F23" i="4" s="1"/>
  <c r="G23" i="4" s="1"/>
  <c r="H23" i="4" s="1"/>
  <c r="I23" i="4" s="1"/>
  <c r="J23" i="4" s="1"/>
  <c r="K23" i="4" s="1"/>
  <c r="L23" i="4" s="1"/>
  <c r="M23" i="4" s="1"/>
  <c r="N23" i="4" s="1"/>
  <c r="O23" i="4" s="1"/>
  <c r="P23" i="4" s="1"/>
  <c r="E21" i="4"/>
  <c r="D19" i="4"/>
  <c r="E19" i="4" s="1"/>
  <c r="Q18" i="4" l="1"/>
  <c r="G24" i="4"/>
  <c r="H24" i="4" s="1"/>
  <c r="I24" i="4" s="1"/>
  <c r="J24" i="4" s="1"/>
  <c r="K24" i="4" s="1"/>
  <c r="L24" i="4" s="1"/>
  <c r="M24" i="4" s="1"/>
  <c r="N24" i="4" s="1"/>
  <c r="O24" i="4" s="1"/>
  <c r="P24" i="4" s="1"/>
  <c r="G25" i="4"/>
  <c r="H25" i="4" s="1"/>
  <c r="I25" i="4" s="1"/>
  <c r="J25" i="4" s="1"/>
  <c r="K25" i="4" s="1"/>
  <c r="L25" i="4" s="1"/>
  <c r="M25" i="4" s="1"/>
  <c r="N25" i="4" s="1"/>
  <c r="O25" i="4" s="1"/>
  <c r="P25" i="4" s="1"/>
  <c r="F21" i="4"/>
  <c r="G21" i="4" s="1"/>
  <c r="H21" i="4" s="1"/>
  <c r="I21" i="4" s="1"/>
  <c r="J21" i="4" s="1"/>
  <c r="K21" i="4" s="1"/>
  <c r="L21" i="4" s="1"/>
  <c r="M21" i="4" s="1"/>
  <c r="N21" i="4" s="1"/>
  <c r="O21" i="4" s="1"/>
  <c r="P21" i="4" s="1"/>
  <c r="F19" i="4"/>
  <c r="E20" i="4"/>
  <c r="AX7" i="4"/>
  <c r="B51" i="1"/>
  <c r="B49" i="1"/>
  <c r="D69" i="19" s="1"/>
  <c r="B48" i="1"/>
  <c r="B46" i="1"/>
  <c r="D66" i="19" s="1"/>
  <c r="B45" i="1"/>
  <c r="I32" i="1"/>
  <c r="B22" i="1"/>
  <c r="B27" i="7"/>
  <c r="B26" i="7"/>
  <c r="B24" i="7"/>
  <c r="B23" i="7"/>
  <c r="B21" i="7"/>
  <c r="B56" i="7" s="1"/>
  <c r="B20" i="7"/>
  <c r="B55" i="7" s="1"/>
  <c r="B19" i="7"/>
  <c r="B54" i="7" s="1"/>
  <c r="AB126" i="3" s="1"/>
  <c r="D11" i="17" s="1"/>
  <c r="B18" i="7"/>
  <c r="B17" i="7"/>
  <c r="B13" i="7"/>
  <c r="B12" i="7"/>
  <c r="B11" i="7"/>
  <c r="B10" i="7"/>
  <c r="B8" i="7"/>
  <c r="B7" i="7"/>
  <c r="F9" i="7"/>
  <c r="B9" i="7" s="1"/>
  <c r="D7" i="19" l="1"/>
  <c r="H7" i="19" s="1"/>
  <c r="E28" i="13"/>
  <c r="G28" i="13" s="1"/>
  <c r="AC106" i="3"/>
  <c r="D65" i="19"/>
  <c r="D71" i="19"/>
  <c r="AG10" i="3"/>
  <c r="D43" i="19"/>
  <c r="Z9" i="3"/>
  <c r="W97" i="3" s="1"/>
  <c r="D68" i="19"/>
  <c r="D22" i="4"/>
  <c r="AX10" i="4"/>
  <c r="C2" i="18" s="1"/>
  <c r="Q25" i="4"/>
  <c r="Q24" i="4"/>
  <c r="Q23" i="4"/>
  <c r="Q21" i="4"/>
  <c r="F20" i="4"/>
  <c r="G20" i="4" s="1"/>
  <c r="H20" i="4" s="1"/>
  <c r="I20" i="4" s="1"/>
  <c r="J20" i="4" s="1"/>
  <c r="K20" i="4" s="1"/>
  <c r="L20" i="4" s="1"/>
  <c r="M20" i="4" s="1"/>
  <c r="N20" i="4" s="1"/>
  <c r="O20" i="4" s="1"/>
  <c r="P20" i="4" s="1"/>
  <c r="G19" i="4"/>
  <c r="AN57" i="23" l="1"/>
  <c r="H28" i="13"/>
  <c r="I11" i="17"/>
  <c r="E22" i="4"/>
  <c r="D26" i="4"/>
  <c r="BB10" i="4"/>
  <c r="BB13" i="4"/>
  <c r="BB12" i="4"/>
  <c r="Q20" i="4"/>
  <c r="R26" i="4" s="1"/>
  <c r="H19" i="4"/>
  <c r="F22" i="4" l="1"/>
  <c r="E26" i="4"/>
  <c r="BB14" i="4"/>
  <c r="D6" i="4" s="1"/>
  <c r="I19" i="4"/>
  <c r="G22" i="4" l="1"/>
  <c r="F26" i="4"/>
  <c r="D9" i="4"/>
  <c r="P9" i="4" s="1"/>
  <c r="D8" i="4"/>
  <c r="D7" i="4"/>
  <c r="P7" i="4" s="1"/>
  <c r="J19" i="4"/>
  <c r="H22" i="4" l="1"/>
  <c r="G26" i="4"/>
  <c r="Q7" i="4"/>
  <c r="S7" i="4" s="1"/>
  <c r="T7" i="4" s="1"/>
  <c r="U7" i="4" s="1"/>
  <c r="V7" i="4" s="1"/>
  <c r="W7" i="4" s="1"/>
  <c r="X7" i="4" s="1"/>
  <c r="Y7" i="4" s="1"/>
  <c r="Z7" i="4" s="1"/>
  <c r="AA7" i="4" s="1"/>
  <c r="AB7" i="4" s="1"/>
  <c r="AC7" i="4" s="1"/>
  <c r="AD7" i="4" s="1"/>
  <c r="AE7" i="4" s="1"/>
  <c r="AF7" i="4" s="1"/>
  <c r="AG7" i="4" s="1"/>
  <c r="AH7" i="4" s="1"/>
  <c r="AI7" i="4" s="1"/>
  <c r="AJ7" i="4" s="1"/>
  <c r="AK7" i="4" s="1"/>
  <c r="AL7" i="4" s="1"/>
  <c r="S27" i="13"/>
  <c r="AU27" i="13" s="1"/>
  <c r="K19" i="4"/>
  <c r="I22" i="4" l="1"/>
  <c r="H26" i="4"/>
  <c r="L19" i="4"/>
  <c r="J22" i="4" l="1"/>
  <c r="I26" i="4"/>
  <c r="M19" i="4"/>
  <c r="K22" i="4" l="1"/>
  <c r="J26" i="4"/>
  <c r="N19" i="4"/>
  <c r="L22" i="4" l="1"/>
  <c r="K26" i="4"/>
  <c r="O19" i="4"/>
  <c r="M22" i="4" l="1"/>
  <c r="L26" i="4"/>
  <c r="P19" i="4"/>
  <c r="N22" i="4" l="1"/>
  <c r="M26" i="4"/>
  <c r="Q19" i="4"/>
  <c r="O22" i="4" l="1"/>
  <c r="N26" i="4"/>
  <c r="P20" i="17"/>
  <c r="P18" i="17"/>
  <c r="P14" i="17"/>
  <c r="P12" i="17"/>
  <c r="P10" i="17"/>
  <c r="N13" i="17"/>
  <c r="N20" i="17"/>
  <c r="N18" i="17"/>
  <c r="N11" i="17"/>
  <c r="L19" i="17"/>
  <c r="X21" i="17"/>
  <c r="P21" i="17"/>
  <c r="X20" i="17"/>
  <c r="X14" i="17"/>
  <c r="P13" i="17"/>
  <c r="U16" i="17"/>
  <c r="V19" i="17"/>
  <c r="U19" i="17"/>
  <c r="V16" i="17"/>
  <c r="AM18" i="17"/>
  <c r="AL18" i="17"/>
  <c r="AK18" i="17"/>
  <c r="AM15" i="17"/>
  <c r="AL15" i="17"/>
  <c r="AK15" i="17"/>
  <c r="P22" i="4" l="1"/>
  <c r="O26" i="4"/>
  <c r="V23" i="17"/>
  <c r="V25" i="17" s="1"/>
  <c r="U23" i="17"/>
  <c r="U25" i="17" s="1"/>
  <c r="X19" i="17"/>
  <c r="X16" i="17"/>
  <c r="AK22" i="17"/>
  <c r="AL22" i="17"/>
  <c r="AM22" i="17"/>
  <c r="AG18" i="17"/>
  <c r="AF18" i="17"/>
  <c r="AE18" i="17"/>
  <c r="AG15" i="17"/>
  <c r="AF15" i="17"/>
  <c r="AE15" i="17"/>
  <c r="AZ18" i="17"/>
  <c r="AY18" i="17"/>
  <c r="AX18" i="17"/>
  <c r="AS18" i="17"/>
  <c r="AR18" i="17"/>
  <c r="AQ18" i="17"/>
  <c r="Q22" i="4" l="1"/>
  <c r="P26" i="4"/>
  <c r="Q26" i="4" s="1"/>
  <c r="X23" i="17"/>
  <c r="X25" i="17" s="1"/>
  <c r="AG22" i="17"/>
  <c r="AF22" i="17"/>
  <c r="AE22" i="17"/>
  <c r="AZ15" i="17" l="1"/>
  <c r="AZ22" i="17" s="1"/>
  <c r="AY15" i="17"/>
  <c r="AY22" i="17" s="1"/>
  <c r="AX15" i="17"/>
  <c r="AX22" i="17" s="1"/>
  <c r="AS15" i="17"/>
  <c r="AS22" i="17" s="1"/>
  <c r="AR15" i="17"/>
  <c r="AR22" i="17" s="1"/>
  <c r="AQ15" i="17"/>
  <c r="AQ22" i="17" s="1"/>
  <c r="AL28" i="13" l="1"/>
  <c r="AK28" i="13"/>
  <c r="Z96" i="3"/>
  <c r="AM26" i="13" l="1"/>
  <c r="C7" i="14" l="1"/>
  <c r="C15" i="14" s="1"/>
  <c r="C16" i="14" s="1"/>
  <c r="B7" i="14"/>
  <c r="B15" i="14" s="1"/>
  <c r="B5" i="14"/>
  <c r="H10" i="11"/>
  <c r="I10" i="11"/>
  <c r="J10" i="11" s="1"/>
  <c r="AA129" i="3"/>
  <c r="AA130" i="3"/>
  <c r="AB103" i="3"/>
  <c r="B58" i="7"/>
  <c r="B40" i="7"/>
  <c r="B36" i="7"/>
  <c r="B41" i="7"/>
  <c r="B35" i="7"/>
  <c r="B39" i="7"/>
  <c r="E27" i="7"/>
  <c r="D26" i="7"/>
  <c r="B50" i="12"/>
  <c r="B49" i="12"/>
  <c r="B48" i="12"/>
  <c r="B47" i="12"/>
  <c r="B37" i="12"/>
  <c r="B36" i="12"/>
  <c r="B35" i="12"/>
  <c r="B34" i="12"/>
  <c r="B33" i="12"/>
  <c r="B32" i="12"/>
  <c r="B31" i="12"/>
  <c r="B26" i="12"/>
  <c r="B42" i="12" s="1"/>
  <c r="E25" i="12"/>
  <c r="D25" i="12"/>
  <c r="E24" i="12"/>
  <c r="D24" i="12"/>
  <c r="B16" i="12"/>
  <c r="E14" i="12"/>
  <c r="D14" i="12"/>
  <c r="B13" i="12"/>
  <c r="F8" i="12" s="1"/>
  <c r="F12" i="12"/>
  <c r="E12" i="12"/>
  <c r="D12" i="12"/>
  <c r="F11" i="12"/>
  <c r="E11" i="12"/>
  <c r="D11" i="12"/>
  <c r="E10" i="12"/>
  <c r="D10" i="12"/>
  <c r="F6" i="12"/>
  <c r="E43" i="4"/>
  <c r="F43" i="4" s="1"/>
  <c r="G43" i="4" s="1"/>
  <c r="H43" i="4" s="1"/>
  <c r="I43" i="4" s="1"/>
  <c r="J43" i="4" s="1"/>
  <c r="K43" i="4" s="1"/>
  <c r="L43" i="4" s="1"/>
  <c r="M43" i="4" s="1"/>
  <c r="N43" i="4" s="1"/>
  <c r="O43" i="4" s="1"/>
  <c r="P43" i="4" s="1"/>
  <c r="F40" i="1"/>
  <c r="F41" i="1"/>
  <c r="AA131" i="3"/>
  <c r="AA128" i="3"/>
  <c r="AA127" i="3"/>
  <c r="AB127" i="3" s="1"/>
  <c r="AA125" i="3"/>
  <c r="AA124" i="3"/>
  <c r="AA123" i="3"/>
  <c r="X123" i="3"/>
  <c r="X126" i="3"/>
  <c r="X125" i="3"/>
  <c r="X124" i="3"/>
  <c r="AB112" i="3"/>
  <c r="AB111" i="3"/>
  <c r="AB110" i="3"/>
  <c r="AB109" i="3"/>
  <c r="AB108" i="3"/>
  <c r="AB107" i="3"/>
  <c r="AB105" i="3"/>
  <c r="AB104" i="3"/>
  <c r="B43" i="7"/>
  <c r="P25" i="3"/>
  <c r="Q54" i="4"/>
  <c r="Q50" i="4"/>
  <c r="Q47" i="4"/>
  <c r="Q45" i="4"/>
  <c r="Q37" i="4"/>
  <c r="Q35" i="4"/>
  <c r="Q34" i="4"/>
  <c r="Q33" i="4"/>
  <c r="Q29" i="4"/>
  <c r="Q27" i="4"/>
  <c r="Q9" i="4"/>
  <c r="S9" i="4" s="1"/>
  <c r="T9" i="4" s="1"/>
  <c r="U9" i="4" s="1"/>
  <c r="V9" i="4" s="1"/>
  <c r="W9" i="4" s="1"/>
  <c r="X9" i="4" s="1"/>
  <c r="Y9" i="4" s="1"/>
  <c r="Z9" i="4" s="1"/>
  <c r="AA9" i="4" s="1"/>
  <c r="AB9" i="4" s="1"/>
  <c r="AC9" i="4" s="1"/>
  <c r="AD9" i="4" s="1"/>
  <c r="AE9" i="4" s="1"/>
  <c r="AF9" i="4" s="1"/>
  <c r="AG9" i="4" s="1"/>
  <c r="AH9" i="4" s="1"/>
  <c r="AI9" i="4" s="1"/>
  <c r="AJ9" i="4" s="1"/>
  <c r="AK9" i="4" s="1"/>
  <c r="AL9" i="4" s="1"/>
  <c r="Q60" i="4"/>
  <c r="P61" i="4"/>
  <c r="P55" i="4"/>
  <c r="P48" i="4"/>
  <c r="Z80" i="3"/>
  <c r="A26" i="3"/>
  <c r="A27" i="3"/>
  <c r="E44" i="4"/>
  <c r="F44" i="4" s="1"/>
  <c r="G44" i="4" s="1"/>
  <c r="H44" i="4" s="1"/>
  <c r="I44" i="4" s="1"/>
  <c r="J44" i="4" s="1"/>
  <c r="K44" i="4" s="1"/>
  <c r="L44" i="4" s="1"/>
  <c r="M44" i="4" s="1"/>
  <c r="N44" i="4" s="1"/>
  <c r="O44" i="4" s="1"/>
  <c r="P44" i="4" s="1"/>
  <c r="O25" i="3"/>
  <c r="N25" i="3"/>
  <c r="M25" i="3"/>
  <c r="L25" i="3"/>
  <c r="K25" i="3"/>
  <c r="J25" i="3"/>
  <c r="I25" i="3"/>
  <c r="H25" i="3"/>
  <c r="G25" i="3"/>
  <c r="F25" i="3"/>
  <c r="E25" i="3"/>
  <c r="D25" i="3"/>
  <c r="A41" i="3"/>
  <c r="F17" i="4"/>
  <c r="G17" i="4" s="1"/>
  <c r="H17" i="4" s="1"/>
  <c r="I17" i="4" s="1"/>
  <c r="J17" i="4" s="1"/>
  <c r="K17" i="4" s="1"/>
  <c r="L17" i="4" s="1"/>
  <c r="M17" i="4" s="1"/>
  <c r="N17" i="4" s="1"/>
  <c r="O17" i="4" s="1"/>
  <c r="P17" i="4" s="1"/>
  <c r="E28" i="4"/>
  <c r="F28" i="4" s="1"/>
  <c r="G28" i="4" s="1"/>
  <c r="H28" i="4" s="1"/>
  <c r="I28" i="4" s="1"/>
  <c r="J28" i="4" s="1"/>
  <c r="D32" i="4"/>
  <c r="E32" i="4" s="1"/>
  <c r="F32" i="4" s="1"/>
  <c r="G32" i="4" s="1"/>
  <c r="H32" i="4" s="1"/>
  <c r="I32" i="4" s="1"/>
  <c r="J32" i="4" s="1"/>
  <c r="K32" i="4" s="1"/>
  <c r="L32" i="4" s="1"/>
  <c r="M32" i="4" s="1"/>
  <c r="N32" i="4" s="1"/>
  <c r="O32" i="4" s="1"/>
  <c r="P32" i="4" s="1"/>
  <c r="B17" i="1"/>
  <c r="D38" i="19" s="1"/>
  <c r="AO148" i="3" l="1"/>
  <c r="AO142" i="3"/>
  <c r="AO149" i="3"/>
  <c r="AO141" i="3"/>
  <c r="AN143" i="3"/>
  <c r="AN142" i="3"/>
  <c r="AN141" i="3"/>
  <c r="AN145" i="3"/>
  <c r="AN139" i="3"/>
  <c r="AN150" i="3"/>
  <c r="AN138" i="3"/>
  <c r="AN149" i="3"/>
  <c r="AN147" i="3"/>
  <c r="AN144" i="3"/>
  <c r="B20" i="12"/>
  <c r="F19" i="12" s="1"/>
  <c r="B46" i="12"/>
  <c r="B51" i="12" s="1"/>
  <c r="AB130" i="3"/>
  <c r="G90" i="19" s="1"/>
  <c r="AB128" i="3"/>
  <c r="AN146" i="3" s="1"/>
  <c r="B38" i="12"/>
  <c r="C38" i="12" s="1"/>
  <c r="F5" i="12"/>
  <c r="F43" i="1"/>
  <c r="C92" i="19"/>
  <c r="G93" i="19"/>
  <c r="C95" i="19"/>
  <c r="AC108" i="3"/>
  <c r="AC107" i="3"/>
  <c r="AO143" i="3" s="1"/>
  <c r="C94" i="19"/>
  <c r="G94" i="19" s="1"/>
  <c r="F98" i="19"/>
  <c r="AC103" i="3"/>
  <c r="F93" i="19"/>
  <c r="C107" i="19"/>
  <c r="AC109" i="3"/>
  <c r="C108" i="19"/>
  <c r="AC110" i="3"/>
  <c r="AO146" i="3" s="1"/>
  <c r="AR146" i="3" s="1"/>
  <c r="C99" i="19"/>
  <c r="AC111" i="3"/>
  <c r="C91" i="19"/>
  <c r="AC104" i="3"/>
  <c r="AO138" i="3" s="1"/>
  <c r="AB129" i="3"/>
  <c r="G98" i="19" s="1"/>
  <c r="H41" i="3"/>
  <c r="G41" i="3"/>
  <c r="F41" i="3"/>
  <c r="E41" i="3"/>
  <c r="P41" i="3"/>
  <c r="D41" i="3"/>
  <c r="O41" i="3"/>
  <c r="N41" i="3"/>
  <c r="M41" i="3"/>
  <c r="L41" i="3"/>
  <c r="K41" i="3"/>
  <c r="J41" i="3"/>
  <c r="I41" i="3"/>
  <c r="E30" i="3"/>
  <c r="P30" i="3"/>
  <c r="D30" i="3"/>
  <c r="M30" i="3"/>
  <c r="L30" i="3"/>
  <c r="K30" i="3"/>
  <c r="J30" i="3"/>
  <c r="I30" i="3"/>
  <c r="H30" i="3"/>
  <c r="G30" i="3"/>
  <c r="N30" i="3"/>
  <c r="F30" i="3"/>
  <c r="O30" i="3"/>
  <c r="B16" i="14"/>
  <c r="C17" i="14" s="1"/>
  <c r="Q32" i="4"/>
  <c r="B35" i="1"/>
  <c r="D55" i="19" s="1"/>
  <c r="B57" i="7"/>
  <c r="E26" i="7"/>
  <c r="D15" i="17"/>
  <c r="B18" i="1"/>
  <c r="D39" i="19" s="1"/>
  <c r="D27" i="7"/>
  <c r="B53" i="7"/>
  <c r="C51" i="12"/>
  <c r="F21" i="12"/>
  <c r="F10" i="12"/>
  <c r="F25" i="12"/>
  <c r="F7" i="12"/>
  <c r="F9" i="12"/>
  <c r="F18" i="12"/>
  <c r="B41" i="12"/>
  <c r="B43" i="12" s="1"/>
  <c r="F22" i="12"/>
  <c r="F23" i="12"/>
  <c r="F24" i="12"/>
  <c r="B27" i="12"/>
  <c r="B28" i="12" s="1"/>
  <c r="B52" i="7"/>
  <c r="AB124" i="3" s="1"/>
  <c r="Q43" i="4"/>
  <c r="Q44" i="4"/>
  <c r="P46" i="4"/>
  <c r="Q17" i="4"/>
  <c r="D14" i="4"/>
  <c r="K28" i="4"/>
  <c r="AN148" i="3" l="1"/>
  <c r="AN137" i="3"/>
  <c r="I14" i="17"/>
  <c r="N14" i="17" s="1"/>
  <c r="AO144" i="3"/>
  <c r="I22" i="17"/>
  <c r="N22" i="17" s="1"/>
  <c r="AO147" i="3"/>
  <c r="AO150" i="3"/>
  <c r="AO145" i="3"/>
  <c r="I17" i="17"/>
  <c r="I19" i="17" s="1"/>
  <c r="F90" i="19"/>
  <c r="D90" i="19" s="1"/>
  <c r="AO137" i="3"/>
  <c r="D10" i="17"/>
  <c r="D21" i="17"/>
  <c r="AB125" i="3"/>
  <c r="D24" i="17"/>
  <c r="E24" i="17" s="1"/>
  <c r="F17" i="12"/>
  <c r="F16" i="12"/>
  <c r="D93" i="19"/>
  <c r="F94" i="19"/>
  <c r="I10" i="17"/>
  <c r="G91" i="19"/>
  <c r="F91" i="19"/>
  <c r="D98" i="19"/>
  <c r="G99" i="19"/>
  <c r="F99" i="19"/>
  <c r="I15" i="17"/>
  <c r="F95" i="19"/>
  <c r="G95" i="19"/>
  <c r="F108" i="19"/>
  <c r="D108" i="19"/>
  <c r="D107" i="19"/>
  <c r="F107" i="19"/>
  <c r="G92" i="19"/>
  <c r="B59" i="7"/>
  <c r="AB131" i="3" s="1"/>
  <c r="Q30" i="3"/>
  <c r="B48" i="7"/>
  <c r="Y125" i="3" s="1"/>
  <c r="I24" i="17"/>
  <c r="Q41" i="3"/>
  <c r="L28" i="4"/>
  <c r="D12" i="17" l="1"/>
  <c r="D16" i="17" s="1"/>
  <c r="AB134" i="3"/>
  <c r="AN140" i="3"/>
  <c r="AN151" i="3"/>
  <c r="F24" i="17"/>
  <c r="N15" i="17"/>
  <c r="I4" i="17"/>
  <c r="D94" i="19"/>
  <c r="D99" i="19"/>
  <c r="D95" i="19"/>
  <c r="F96" i="19"/>
  <c r="D91" i="19"/>
  <c r="G96" i="19"/>
  <c r="G97" i="19" s="1"/>
  <c r="Z98" i="3"/>
  <c r="AB132" i="3"/>
  <c r="D18" i="17"/>
  <c r="D17" i="17"/>
  <c r="J24" i="17"/>
  <c r="K24" i="17" s="1"/>
  <c r="N24" i="17"/>
  <c r="M28" i="4"/>
  <c r="G89" i="19" l="1"/>
  <c r="G100" i="19"/>
  <c r="D103" i="19" s="1"/>
  <c r="D96" i="19"/>
  <c r="D19" i="17"/>
  <c r="D23" i="17" s="1"/>
  <c r="D25" i="17" s="1"/>
  <c r="Q14" i="4"/>
  <c r="N28" i="4"/>
  <c r="AB19" i="17" l="1"/>
  <c r="AB18" i="17"/>
  <c r="AJ155" i="3" s="1"/>
  <c r="AB15" i="17"/>
  <c r="AJ143" i="3" s="1"/>
  <c r="AB17" i="17"/>
  <c r="AJ154" i="3" s="1"/>
  <c r="AJ138" i="3" s="1"/>
  <c r="AB16" i="17"/>
  <c r="AB24" i="17"/>
  <c r="AJ150" i="3" s="1"/>
  <c r="AB12" i="17"/>
  <c r="AJ140" i="3" s="1"/>
  <c r="AJ158" i="3" s="1"/>
  <c r="AB20" i="17"/>
  <c r="AJ149" i="3" s="1"/>
  <c r="AB23" i="17"/>
  <c r="AB11" i="17"/>
  <c r="AJ141" i="3" s="1"/>
  <c r="AB22" i="17"/>
  <c r="AJ147" i="3" s="1"/>
  <c r="AB10" i="17"/>
  <c r="AJ137" i="3" s="1"/>
  <c r="AB21" i="17"/>
  <c r="AJ148" i="3" s="1"/>
  <c r="AB14" i="17"/>
  <c r="AJ144" i="3" s="1"/>
  <c r="AB13" i="17"/>
  <c r="AJ142" i="3" s="1"/>
  <c r="T18" i="17"/>
  <c r="Z15" i="17"/>
  <c r="AF143" i="3" s="1"/>
  <c r="Z14" i="17"/>
  <c r="AF144" i="3" s="1"/>
  <c r="Z13" i="17"/>
  <c r="AF142" i="3" s="1"/>
  <c r="Z24" i="17"/>
  <c r="AF150" i="3" s="1"/>
  <c r="Z12" i="17"/>
  <c r="AF140" i="3" s="1"/>
  <c r="Z21" i="17"/>
  <c r="AF148" i="3" s="1"/>
  <c r="Z23" i="17"/>
  <c r="Z11" i="17"/>
  <c r="AF141" i="3" s="1"/>
  <c r="Z22" i="17"/>
  <c r="AF147" i="3" s="1"/>
  <c r="Z10" i="17"/>
  <c r="Z20" i="17"/>
  <c r="AF149" i="3" s="1"/>
  <c r="Z19" i="17"/>
  <c r="Z18" i="17"/>
  <c r="AF155" i="3" s="1"/>
  <c r="Z17" i="17"/>
  <c r="AF154" i="3" s="1"/>
  <c r="Z16" i="17"/>
  <c r="T17" i="17"/>
  <c r="T24" i="17"/>
  <c r="E25" i="17"/>
  <c r="E23" i="17" s="1"/>
  <c r="T13" i="17"/>
  <c r="T14" i="17"/>
  <c r="T11" i="17"/>
  <c r="T22" i="17"/>
  <c r="T20" i="17"/>
  <c r="T10" i="17"/>
  <c r="T21" i="17"/>
  <c r="T15" i="17"/>
  <c r="T12" i="17"/>
  <c r="O28" i="4"/>
  <c r="P28" i="4" s="1"/>
  <c r="Q28" i="4" s="1"/>
  <c r="AF158" i="3" l="1"/>
  <c r="T19" i="17"/>
  <c r="AF138" i="3"/>
  <c r="AJ151" i="3"/>
  <c r="AF137" i="3"/>
  <c r="Z25" i="17"/>
  <c r="T16" i="17"/>
  <c r="T23" i="17" s="1"/>
  <c r="T25" i="17" s="1"/>
  <c r="E18" i="17"/>
  <c r="E10" i="17"/>
  <c r="E11" i="17"/>
  <c r="E15" i="17"/>
  <c r="E17" i="17"/>
  <c r="E22" i="17"/>
  <c r="E20" i="17"/>
  <c r="E13" i="17"/>
  <c r="E12" i="17"/>
  <c r="E14" i="17"/>
  <c r="E21" i="17"/>
  <c r="F13" i="17" l="1"/>
  <c r="F22" i="17"/>
  <c r="F20" i="17"/>
  <c r="F12" i="17"/>
  <c r="F21" i="17"/>
  <c r="F15" i="17"/>
  <c r="F18" i="17"/>
  <c r="AF151" i="3"/>
  <c r="F14" i="17"/>
  <c r="F10" i="17"/>
  <c r="F17" i="17"/>
  <c r="E19" i="17"/>
  <c r="E16" i="17"/>
  <c r="F11" i="17"/>
  <c r="F19" i="17" l="1"/>
  <c r="F16" i="17"/>
  <c r="N79" i="3"/>
  <c r="N78" i="3"/>
  <c r="AN78" i="3"/>
  <c r="AJ78" i="3"/>
  <c r="AM77" i="3"/>
  <c r="AL76" i="3"/>
  <c r="AI77" i="3"/>
  <c r="AH76" i="3"/>
  <c r="Y80" i="3"/>
  <c r="N76" i="3" s="1"/>
  <c r="M78" i="3"/>
  <c r="V78" i="3" s="1"/>
  <c r="H79" i="3"/>
  <c r="A79" i="3"/>
  <c r="A43" i="3"/>
  <c r="A42" i="3"/>
  <c r="A40" i="3"/>
  <c r="A39" i="3"/>
  <c r="A38" i="3"/>
  <c r="A37" i="3"/>
  <c r="A35" i="3"/>
  <c r="A36" i="3"/>
  <c r="A34" i="3"/>
  <c r="A33" i="3"/>
  <c r="A32" i="3"/>
  <c r="A31" i="3"/>
  <c r="A28" i="3"/>
  <c r="A29" i="3"/>
  <c r="E8" i="4"/>
  <c r="E6" i="4"/>
  <c r="O46" i="4"/>
  <c r="N46" i="4"/>
  <c r="M46" i="4"/>
  <c r="L46" i="4"/>
  <c r="K46" i="4"/>
  <c r="J46" i="4"/>
  <c r="I46" i="4"/>
  <c r="H46" i="4"/>
  <c r="G46" i="4"/>
  <c r="F46" i="4"/>
  <c r="E46" i="4"/>
  <c r="D46" i="4"/>
  <c r="O48" i="4"/>
  <c r="N48" i="4"/>
  <c r="M48" i="4"/>
  <c r="L48" i="4"/>
  <c r="K48" i="4"/>
  <c r="J48" i="4"/>
  <c r="I48" i="4"/>
  <c r="H48" i="4"/>
  <c r="G48" i="4"/>
  <c r="F48" i="4"/>
  <c r="E48" i="4"/>
  <c r="D48" i="4"/>
  <c r="L45" i="1"/>
  <c r="D40" i="4" s="1"/>
  <c r="J32" i="1"/>
  <c r="O31" i="1"/>
  <c r="O34" i="3" l="1"/>
  <c r="N34" i="3"/>
  <c r="M34" i="3"/>
  <c r="L34" i="3"/>
  <c r="K34" i="3"/>
  <c r="J34" i="3"/>
  <c r="I34" i="3"/>
  <c r="H34" i="3"/>
  <c r="G34" i="3"/>
  <c r="P34" i="3"/>
  <c r="F34" i="3"/>
  <c r="E34" i="3"/>
  <c r="D34" i="3"/>
  <c r="M36" i="3"/>
  <c r="L36" i="3"/>
  <c r="K36" i="3"/>
  <c r="J36" i="3"/>
  <c r="I36" i="3"/>
  <c r="H36" i="3"/>
  <c r="G36" i="3"/>
  <c r="F36" i="3"/>
  <c r="E36" i="3"/>
  <c r="P36" i="3"/>
  <c r="O36" i="3"/>
  <c r="N36" i="3"/>
  <c r="D36" i="3"/>
  <c r="P38" i="3"/>
  <c r="P40" i="3"/>
  <c r="H29" i="3"/>
  <c r="G29" i="3"/>
  <c r="F29" i="3"/>
  <c r="E29" i="3"/>
  <c r="M29" i="3"/>
  <c r="P29" i="3"/>
  <c r="D29" i="3"/>
  <c r="O29" i="3"/>
  <c r="N29" i="3"/>
  <c r="J29" i="3"/>
  <c r="I29" i="3"/>
  <c r="L29" i="3"/>
  <c r="K29" i="3"/>
  <c r="Q48" i="4"/>
  <c r="E10" i="4"/>
  <c r="F8" i="4"/>
  <c r="G8" i="4" s="1"/>
  <c r="H8" i="4" s="1"/>
  <c r="I8" i="4" s="1"/>
  <c r="J8" i="4" s="1"/>
  <c r="K8" i="4" s="1"/>
  <c r="L8" i="4" s="1"/>
  <c r="M8" i="4" s="1"/>
  <c r="N8" i="4" s="1"/>
  <c r="O8" i="4" s="1"/>
  <c r="P8" i="4" s="1"/>
  <c r="Q46" i="4"/>
  <c r="D10" i="4"/>
  <c r="O32" i="1"/>
  <c r="D30" i="4"/>
  <c r="B47" i="1"/>
  <c r="L46" i="1"/>
  <c r="D41" i="4" s="1"/>
  <c r="F6" i="4"/>
  <c r="E40" i="4"/>
  <c r="E47" i="1" l="1"/>
  <c r="AG8" i="3"/>
  <c r="D67" i="19"/>
  <c r="I47" i="1"/>
  <c r="E67" i="19" s="1"/>
  <c r="D26" i="3"/>
  <c r="E90" i="4"/>
  <c r="BS89" i="4" s="1"/>
  <c r="P11" i="13"/>
  <c r="P25" i="13" s="1"/>
  <c r="E26" i="3"/>
  <c r="F10" i="4"/>
  <c r="Q8" i="4"/>
  <c r="Q34" i="3"/>
  <c r="E30" i="4"/>
  <c r="D31" i="4"/>
  <c r="D36" i="4" s="1"/>
  <c r="D31" i="3" s="1"/>
  <c r="E41" i="4"/>
  <c r="D42" i="4"/>
  <c r="D33" i="3" s="1"/>
  <c r="G6" i="4"/>
  <c r="G10" i="4" s="1"/>
  <c r="F40" i="4"/>
  <c r="F26" i="3" l="1"/>
  <c r="F90" i="4"/>
  <c r="BT89" i="4" s="1"/>
  <c r="G26" i="3"/>
  <c r="G90" i="4"/>
  <c r="BU89" i="4" s="1"/>
  <c r="F41" i="4"/>
  <c r="G41" i="4" s="1"/>
  <c r="H41" i="4" s="1"/>
  <c r="I41" i="4" s="1"/>
  <c r="J41" i="4" s="1"/>
  <c r="K41" i="4" s="1"/>
  <c r="L41" i="4" s="1"/>
  <c r="M41" i="4" s="1"/>
  <c r="N41" i="4" s="1"/>
  <c r="O41" i="4" s="1"/>
  <c r="P41" i="4" s="1"/>
  <c r="E31" i="4"/>
  <c r="F30" i="4"/>
  <c r="Q36" i="3"/>
  <c r="E42" i="4"/>
  <c r="E33" i="3" s="1"/>
  <c r="H6" i="4"/>
  <c r="H10" i="4" s="1"/>
  <c r="G40" i="4"/>
  <c r="H26" i="3" l="1"/>
  <c r="H90" i="4"/>
  <c r="BV89" i="4" s="1"/>
  <c r="F42" i="4"/>
  <c r="F33" i="3" s="1"/>
  <c r="Q41" i="4"/>
  <c r="F31" i="4"/>
  <c r="G31" i="4" s="1"/>
  <c r="H31" i="4" s="1"/>
  <c r="I31" i="4" s="1"/>
  <c r="J31" i="4" s="1"/>
  <c r="K31" i="4" s="1"/>
  <c r="L31" i="4" s="1"/>
  <c r="M31" i="4" s="1"/>
  <c r="N31" i="4" s="1"/>
  <c r="O31" i="4" s="1"/>
  <c r="P31" i="4" s="1"/>
  <c r="E36" i="4"/>
  <c r="E31" i="3" s="1"/>
  <c r="G30" i="4"/>
  <c r="I6" i="4"/>
  <c r="I10" i="4" s="1"/>
  <c r="H40" i="4"/>
  <c r="G42" i="4"/>
  <c r="G33" i="3" s="1"/>
  <c r="I26" i="3" l="1"/>
  <c r="I90" i="4"/>
  <c r="BW89" i="4" s="1"/>
  <c r="F36" i="4"/>
  <c r="F31" i="3" s="1"/>
  <c r="Q31" i="4"/>
  <c r="H30" i="4"/>
  <c r="G36" i="4"/>
  <c r="G31" i="3" s="1"/>
  <c r="J6" i="4"/>
  <c r="J10" i="4" s="1"/>
  <c r="I40" i="4"/>
  <c r="H42" i="4"/>
  <c r="H33" i="3" s="1"/>
  <c r="J26" i="3" l="1"/>
  <c r="J90" i="4"/>
  <c r="BX89" i="4" s="1"/>
  <c r="I30" i="4"/>
  <c r="H36" i="4"/>
  <c r="H31" i="3" s="1"/>
  <c r="K6" i="4"/>
  <c r="K10" i="4" s="1"/>
  <c r="J40" i="4"/>
  <c r="I42" i="4"/>
  <c r="I33" i="3" s="1"/>
  <c r="K26" i="3" l="1"/>
  <c r="K90" i="4"/>
  <c r="BY89" i="4" s="1"/>
  <c r="J30" i="4"/>
  <c r="I36" i="4"/>
  <c r="I31" i="3" s="1"/>
  <c r="L6" i="4"/>
  <c r="L10" i="4" s="1"/>
  <c r="K40" i="4"/>
  <c r="J42" i="4"/>
  <c r="J33" i="3" s="1"/>
  <c r="L26" i="3" l="1"/>
  <c r="L90" i="4"/>
  <c r="BZ89" i="4" s="1"/>
  <c r="K30" i="4"/>
  <c r="J36" i="4"/>
  <c r="J31" i="3" s="1"/>
  <c r="M6" i="4"/>
  <c r="M10" i="4" s="1"/>
  <c r="L40" i="4"/>
  <c r="K42" i="4"/>
  <c r="K33" i="3" s="1"/>
  <c r="M26" i="3" l="1"/>
  <c r="M90" i="4"/>
  <c r="CA89" i="4" s="1"/>
  <c r="L30" i="4"/>
  <c r="K36" i="4"/>
  <c r="K31" i="3" s="1"/>
  <c r="N6" i="4"/>
  <c r="N10" i="4" s="1"/>
  <c r="M40" i="4"/>
  <c r="L42" i="4"/>
  <c r="L33" i="3" s="1"/>
  <c r="N26" i="3" l="1"/>
  <c r="N90" i="4"/>
  <c r="CB89" i="4" s="1"/>
  <c r="M30" i="4"/>
  <c r="L36" i="4"/>
  <c r="L31" i="3" s="1"/>
  <c r="O6" i="4"/>
  <c r="N40" i="4"/>
  <c r="M42" i="4"/>
  <c r="M33" i="3" s="1"/>
  <c r="O10" i="4" l="1"/>
  <c r="P6" i="4"/>
  <c r="Q6" i="4" s="1"/>
  <c r="N30" i="4"/>
  <c r="M36" i="4"/>
  <c r="M31" i="3" s="1"/>
  <c r="O40" i="4"/>
  <c r="P40" i="4" s="1"/>
  <c r="N42" i="4"/>
  <c r="N33" i="3" s="1"/>
  <c r="O26" i="3" l="1"/>
  <c r="O90" i="4"/>
  <c r="CC89" i="4" s="1"/>
  <c r="P10" i="4"/>
  <c r="P42" i="4"/>
  <c r="P33" i="3" s="1"/>
  <c r="Q40" i="4"/>
  <c r="O30" i="4"/>
  <c r="P30" i="4" s="1"/>
  <c r="N36" i="4"/>
  <c r="N31" i="3" s="1"/>
  <c r="O42" i="4"/>
  <c r="O33" i="3" s="1"/>
  <c r="P26" i="3" l="1"/>
  <c r="Q26" i="3" s="1"/>
  <c r="Q10" i="4"/>
  <c r="AT25" i="13"/>
  <c r="P36" i="4"/>
  <c r="P31" i="3" s="1"/>
  <c r="Q30" i="4"/>
  <c r="Q33" i="3"/>
  <c r="Q42" i="4"/>
  <c r="O36" i="4"/>
  <c r="O31" i="3" s="1"/>
  <c r="F32" i="1"/>
  <c r="F31" i="1"/>
  <c r="B9" i="1"/>
  <c r="S10" i="4" l="1"/>
  <c r="T10" i="4" s="1"/>
  <c r="U10" i="4" s="1"/>
  <c r="V10" i="4" s="1"/>
  <c r="W10" i="4" s="1"/>
  <c r="X10" i="4" s="1"/>
  <c r="Y10" i="4" s="1"/>
  <c r="Z10" i="4" s="1"/>
  <c r="AA10" i="4" s="1"/>
  <c r="AB10" i="4" s="1"/>
  <c r="AC10" i="4" s="1"/>
  <c r="AD10" i="4" s="1"/>
  <c r="D30" i="19"/>
  <c r="Z99" i="3"/>
  <c r="D49" i="19"/>
  <c r="D104" i="19" s="1"/>
  <c r="M76" i="3"/>
  <c r="V76" i="3" s="1"/>
  <c r="U76" i="3" s="1"/>
  <c r="E9" i="1"/>
  <c r="E24" i="13"/>
  <c r="Q36" i="4"/>
  <c r="R36" i="4" s="1"/>
  <c r="E51" i="19" s="1"/>
  <c r="E56" i="4"/>
  <c r="E51" i="4"/>
  <c r="D38" i="4"/>
  <c r="B52" i="4"/>
  <c r="O55" i="4"/>
  <c r="O38" i="3" s="1"/>
  <c r="N55" i="4"/>
  <c r="N38" i="3" s="1"/>
  <c r="M55" i="4"/>
  <c r="M38" i="3" s="1"/>
  <c r="L55" i="4"/>
  <c r="L38" i="3" s="1"/>
  <c r="K55" i="4"/>
  <c r="K38" i="3" s="1"/>
  <c r="J55" i="4"/>
  <c r="J38" i="3" s="1"/>
  <c r="I55" i="4"/>
  <c r="I38" i="3" s="1"/>
  <c r="H55" i="4"/>
  <c r="H38" i="3" s="1"/>
  <c r="G55" i="4"/>
  <c r="G38" i="3" s="1"/>
  <c r="F55" i="4"/>
  <c r="F38" i="3" s="1"/>
  <c r="E55" i="4"/>
  <c r="E38" i="3" s="1"/>
  <c r="D55" i="4"/>
  <c r="D38" i="3" s="1"/>
  <c r="D59" i="4"/>
  <c r="D39" i="3" s="1"/>
  <c r="O61" i="4"/>
  <c r="O40" i="3" s="1"/>
  <c r="N61" i="4"/>
  <c r="N40" i="3" s="1"/>
  <c r="M61" i="4"/>
  <c r="M40" i="3" s="1"/>
  <c r="L61" i="4"/>
  <c r="L40" i="3" s="1"/>
  <c r="K61" i="4"/>
  <c r="K40" i="3" s="1"/>
  <c r="J61" i="4"/>
  <c r="J40" i="3" s="1"/>
  <c r="I61" i="4"/>
  <c r="I40" i="3" s="1"/>
  <c r="H61" i="4"/>
  <c r="H40" i="3" s="1"/>
  <c r="G61" i="4"/>
  <c r="G40" i="3" s="1"/>
  <c r="F61" i="4"/>
  <c r="F40" i="3" s="1"/>
  <c r="E61" i="4"/>
  <c r="E40" i="3" s="1"/>
  <c r="D61" i="4"/>
  <c r="D40" i="3" s="1"/>
  <c r="B51" i="4"/>
  <c r="B50" i="4"/>
  <c r="G32" i="1"/>
  <c r="G31" i="1"/>
  <c r="AE6" i="3"/>
  <c r="V5" i="3"/>
  <c r="B13" i="1"/>
  <c r="B14" i="1" s="1"/>
  <c r="D4" i="19" s="1"/>
  <c r="I49" i="1"/>
  <c r="I48" i="1"/>
  <c r="J33" i="1"/>
  <c r="Z10" i="3"/>
  <c r="E33" i="1"/>
  <c r="B3" i="1"/>
  <c r="B50" i="1"/>
  <c r="A49" i="1"/>
  <c r="C69" i="19" s="1"/>
  <c r="A48" i="1"/>
  <c r="C68" i="19" s="1"/>
  <c r="AE10" i="4" l="1"/>
  <c r="H4" i="19"/>
  <c r="B55" i="1"/>
  <c r="D75" i="19" s="1"/>
  <c r="D11" i="4"/>
  <c r="E30" i="19"/>
  <c r="D34" i="19"/>
  <c r="E50" i="1"/>
  <c r="E70" i="19" s="1"/>
  <c r="D70" i="19"/>
  <c r="Z94" i="3"/>
  <c r="AM24" i="13"/>
  <c r="D84" i="4"/>
  <c r="E84" i="4" s="1"/>
  <c r="F84" i="4" s="1"/>
  <c r="G84" i="4" s="1"/>
  <c r="H84" i="4" s="1"/>
  <c r="I84" i="4" s="1"/>
  <c r="J84" i="4" s="1"/>
  <c r="K84" i="4" s="1"/>
  <c r="L84" i="4" s="1"/>
  <c r="M84" i="4" s="1"/>
  <c r="N84" i="4" s="1"/>
  <c r="O84" i="4" s="1"/>
  <c r="P84" i="4" s="1"/>
  <c r="BB24" i="13"/>
  <c r="E25" i="13"/>
  <c r="W98" i="3"/>
  <c r="Q40" i="3"/>
  <c r="Q61" i="4"/>
  <c r="Q38" i="3"/>
  <c r="Q55" i="4"/>
  <c r="F56" i="4"/>
  <c r="G56" i="4" s="1"/>
  <c r="H56" i="4" s="1"/>
  <c r="I56" i="4" s="1"/>
  <c r="J56" i="4" s="1"/>
  <c r="K56" i="4" s="1"/>
  <c r="L56" i="4" s="1"/>
  <c r="M56" i="4" s="1"/>
  <c r="N56" i="4" s="1"/>
  <c r="O56" i="4" s="1"/>
  <c r="P59" i="4" s="1"/>
  <c r="P39" i="3" s="1"/>
  <c r="E13" i="1"/>
  <c r="D35" i="19"/>
  <c r="N77" i="3"/>
  <c r="M77" i="3"/>
  <c r="D39" i="4"/>
  <c r="D32" i="3" s="1"/>
  <c r="D53" i="4"/>
  <c r="D37" i="3" s="1"/>
  <c r="D64" i="4"/>
  <c r="E38" i="4"/>
  <c r="E53" i="4"/>
  <c r="E37" i="3" s="1"/>
  <c r="F51" i="4"/>
  <c r="G51" i="4" s="1"/>
  <c r="G53" i="4" s="1"/>
  <c r="G37" i="3" s="1"/>
  <c r="E59" i="4"/>
  <c r="E39" i="3" s="1"/>
  <c r="AG9" i="3"/>
  <c r="G33" i="1"/>
  <c r="F33" i="1"/>
  <c r="O33" i="1"/>
  <c r="AF10" i="4" l="1"/>
  <c r="Z95" i="3"/>
  <c r="E55" i="1"/>
  <c r="E75" i="19" s="1"/>
  <c r="E14" i="1"/>
  <c r="E35" i="19" s="1"/>
  <c r="D96" i="4"/>
  <c r="E96" i="4" s="1"/>
  <c r="H84" i="19"/>
  <c r="H87" i="19"/>
  <c r="BB25" i="13"/>
  <c r="BD25" i="13" s="1"/>
  <c r="AP25" i="13" s="1"/>
  <c r="E34" i="19"/>
  <c r="BD24" i="13"/>
  <c r="AP24" i="13" s="1"/>
  <c r="AO24" i="13"/>
  <c r="D12" i="4"/>
  <c r="Q56" i="4"/>
  <c r="AM25" i="13"/>
  <c r="Y82" i="3"/>
  <c r="M79" i="3"/>
  <c r="F38" i="4"/>
  <c r="G38" i="4" s="1"/>
  <c r="H51" i="4"/>
  <c r="I51" i="4" s="1"/>
  <c r="E64" i="4"/>
  <c r="F53" i="4"/>
  <c r="F37" i="3" s="1"/>
  <c r="E39" i="4"/>
  <c r="G59" i="4"/>
  <c r="G39" i="3" s="1"/>
  <c r="F59" i="4"/>
  <c r="F39" i="3" s="1"/>
  <c r="H59" i="4"/>
  <c r="H39" i="3" s="1"/>
  <c r="Z12" i="3"/>
  <c r="C8" i="18" s="1"/>
  <c r="AG10" i="4" l="1"/>
  <c r="F96" i="4"/>
  <c r="AO25" i="13"/>
  <c r="BB31" i="13" a="1"/>
  <c r="BB31" i="13" s="1"/>
  <c r="E32" i="3"/>
  <c r="W93" i="3"/>
  <c r="F64" i="4"/>
  <c r="F39" i="4"/>
  <c r="F32" i="3" s="1"/>
  <c r="G64" i="4"/>
  <c r="H53" i="4"/>
  <c r="H37" i="3" s="1"/>
  <c r="I53" i="4"/>
  <c r="I37" i="3" s="1"/>
  <c r="J51" i="4"/>
  <c r="H38" i="4"/>
  <c r="G39" i="4"/>
  <c r="G32" i="3" s="1"/>
  <c r="I59" i="4"/>
  <c r="I39" i="3" s="1"/>
  <c r="AH10" i="4" l="1"/>
  <c r="G96" i="4"/>
  <c r="BD31" i="13" a="1"/>
  <c r="BD31" i="13" s="1"/>
  <c r="H64" i="4"/>
  <c r="K51" i="4"/>
  <c r="J53" i="4"/>
  <c r="J37" i="3" s="1"/>
  <c r="I38" i="4"/>
  <c r="H39" i="4"/>
  <c r="H32" i="3" s="1"/>
  <c r="J59" i="4"/>
  <c r="J39" i="3" s="1"/>
  <c r="AI10" i="4" l="1"/>
  <c r="H96" i="4"/>
  <c r="I64" i="4"/>
  <c r="L51" i="4"/>
  <c r="K53" i="4"/>
  <c r="K37" i="3" s="1"/>
  <c r="J38" i="4"/>
  <c r="I39" i="4"/>
  <c r="I32" i="3" s="1"/>
  <c r="K59" i="4"/>
  <c r="K39" i="3" s="1"/>
  <c r="AJ10" i="4" l="1"/>
  <c r="I96" i="4"/>
  <c r="J64" i="4"/>
  <c r="M51" i="4"/>
  <c r="L53" i="4"/>
  <c r="L37" i="3" s="1"/>
  <c r="K38" i="4"/>
  <c r="J39" i="4"/>
  <c r="J32" i="3" s="1"/>
  <c r="L59" i="4"/>
  <c r="L39" i="3" s="1"/>
  <c r="AK10" i="4" l="1"/>
  <c r="J96" i="4"/>
  <c r="K64" i="4"/>
  <c r="M53" i="4"/>
  <c r="M37" i="3" s="1"/>
  <c r="N51" i="4"/>
  <c r="L38" i="4"/>
  <c r="K39" i="4"/>
  <c r="K32" i="3" s="1"/>
  <c r="M59" i="4"/>
  <c r="M39" i="3" s="1"/>
  <c r="AL10" i="4" l="1"/>
  <c r="K96" i="4"/>
  <c r="L64" i="4"/>
  <c r="O51" i="4"/>
  <c r="P51" i="4" s="1"/>
  <c r="N53" i="4"/>
  <c r="N37" i="3" s="1"/>
  <c r="M38" i="4"/>
  <c r="L39" i="4"/>
  <c r="L32" i="3" s="1"/>
  <c r="O59" i="4"/>
  <c r="O39" i="3" s="1"/>
  <c r="N59" i="4"/>
  <c r="N39" i="3" s="1"/>
  <c r="L96" i="4" l="1"/>
  <c r="Q39" i="3"/>
  <c r="Q59" i="4"/>
  <c r="P53" i="4"/>
  <c r="P37" i="3" s="1"/>
  <c r="Q51" i="4"/>
  <c r="M64" i="4"/>
  <c r="N38" i="4"/>
  <c r="M39" i="4"/>
  <c r="M32" i="3" s="1"/>
  <c r="M96" i="4" l="1"/>
  <c r="N64" i="4"/>
  <c r="O53" i="4"/>
  <c r="O37" i="3" s="1"/>
  <c r="O38" i="4"/>
  <c r="P38" i="4" s="1"/>
  <c r="N39" i="4"/>
  <c r="N32" i="3" s="1"/>
  <c r="N96" i="4" l="1"/>
  <c r="P114" i="4"/>
  <c r="CD120" i="4" s="1"/>
  <c r="P39" i="4"/>
  <c r="P32" i="3" s="1"/>
  <c r="P64" i="4"/>
  <c r="Q38" i="4"/>
  <c r="Q31" i="3"/>
  <c r="Q37" i="3"/>
  <c r="Q53" i="4"/>
  <c r="O64" i="4"/>
  <c r="O39" i="4"/>
  <c r="O32" i="3" s="1"/>
  <c r="O96" i="4" l="1"/>
  <c r="Q39" i="4"/>
  <c r="Q64" i="4"/>
  <c r="Q29" i="3"/>
  <c r="P96" i="4" l="1"/>
  <c r="Q32" i="3"/>
  <c r="V77" i="3"/>
  <c r="L79" i="3"/>
  <c r="M80" i="3" s="1"/>
  <c r="Z76" i="3" l="1"/>
  <c r="AA76" i="3"/>
  <c r="AJ76" i="3" s="1"/>
  <c r="AD76" i="3"/>
  <c r="AM76" i="3" s="1"/>
  <c r="Y77" i="3"/>
  <c r="AH77" i="3" s="1"/>
  <c r="AA77" i="3"/>
  <c r="AJ77" i="3" s="1"/>
  <c r="AB77" i="3"/>
  <c r="AK77" i="3" s="1"/>
  <c r="AC77" i="3"/>
  <c r="AL77" i="3" s="1"/>
  <c r="AC78" i="3"/>
  <c r="AL78" i="3" s="1"/>
  <c r="AD78" i="3"/>
  <c r="AM78" i="3" s="1"/>
  <c r="AF78" i="3" l="1"/>
  <c r="AO78" i="3" s="1"/>
  <c r="AE76" i="3"/>
  <c r="AN76" i="3" s="1"/>
  <c r="Y78" i="3"/>
  <c r="AH78" i="3" s="1"/>
  <c r="AI76" i="3"/>
  <c r="O76" i="3" s="1"/>
  <c r="AB76" i="3"/>
  <c r="AK76" i="3" s="1"/>
  <c r="AA79" i="3"/>
  <c r="Z78" i="3" l="1"/>
  <c r="AB78" i="3" s="1"/>
  <c r="AK78" i="3" s="1"/>
  <c r="AE77" i="3"/>
  <c r="AN77" i="3" s="1"/>
  <c r="AF76" i="3"/>
  <c r="AO76" i="3" s="1"/>
  <c r="Y79" i="3"/>
  <c r="AF77" i="3" l="1"/>
  <c r="AO77" i="3" s="1"/>
  <c r="O77" i="3" s="1"/>
  <c r="AI78" i="3"/>
  <c r="Z79" i="3"/>
  <c r="AC82" i="3" l="1"/>
  <c r="O82" i="3" s="1"/>
  <c r="B34" i="1"/>
  <c r="B47" i="7"/>
  <c r="B49" i="7" s="1"/>
  <c r="B31" i="7"/>
  <c r="C31" i="7" s="1"/>
  <c r="B36" i="1" l="1"/>
  <c r="D56" i="19" s="1"/>
  <c r="D54" i="19"/>
  <c r="Y124" i="3"/>
  <c r="C59" i="7"/>
  <c r="Y126" i="3"/>
  <c r="Y127" i="3" s="1"/>
  <c r="Z6" i="3" l="1"/>
  <c r="W96" i="3" s="1"/>
  <c r="L16" i="17" l="1"/>
  <c r="B6" i="7" l="1"/>
  <c r="B37" i="7" s="1"/>
  <c r="AC105" i="3" s="1"/>
  <c r="AO140" i="3" s="1"/>
  <c r="B32" i="7"/>
  <c r="AO151" i="3" l="1"/>
  <c r="AO159" i="3"/>
  <c r="F92" i="19"/>
  <c r="F97" i="19" s="1"/>
  <c r="AC114" i="3"/>
  <c r="AO158" i="3" s="1"/>
  <c r="I12" i="17"/>
  <c r="B44" i="7"/>
  <c r="B16" i="1"/>
  <c r="B19" i="1" s="1"/>
  <c r="D5" i="19" s="1"/>
  <c r="D92" i="19" l="1"/>
  <c r="H5" i="19"/>
  <c r="E11" i="19"/>
  <c r="I16" i="17"/>
  <c r="I23" i="17" s="1"/>
  <c r="I25" i="17" s="1"/>
  <c r="C44" i="7"/>
  <c r="AC112" i="3"/>
  <c r="AC113" i="3" s="1"/>
  <c r="F100" i="19"/>
  <c r="D102" i="19" s="1"/>
  <c r="D97" i="19"/>
  <c r="F89" i="19"/>
  <c r="D40" i="19"/>
  <c r="B23" i="1"/>
  <c r="D37" i="19"/>
  <c r="W95" i="3"/>
  <c r="E27" i="13"/>
  <c r="Z11" i="3"/>
  <c r="N12" i="17"/>
  <c r="E29" i="13" l="1"/>
  <c r="F28" i="13" s="1"/>
  <c r="AA10" i="17"/>
  <c r="AK137" i="3" s="1"/>
  <c r="AA18" i="17"/>
  <c r="AK155" i="3" s="1"/>
  <c r="AL155" i="3" s="1"/>
  <c r="AA12" i="17"/>
  <c r="AK140" i="3" s="1"/>
  <c r="AA13" i="17"/>
  <c r="AK142" i="3" s="1"/>
  <c r="AA11" i="17"/>
  <c r="AK141" i="3" s="1"/>
  <c r="AA14" i="17"/>
  <c r="AK144" i="3" s="1"/>
  <c r="AA20" i="17"/>
  <c r="AK149" i="3" s="1"/>
  <c r="AA21" i="17"/>
  <c r="AK148" i="3" s="1"/>
  <c r="Y10" i="17"/>
  <c r="AG137" i="3" s="1"/>
  <c r="Y20" i="17"/>
  <c r="AG149" i="3" s="1"/>
  <c r="Y21" i="17"/>
  <c r="AG148" i="3" s="1"/>
  <c r="Y18" i="17"/>
  <c r="AG155" i="3" s="1"/>
  <c r="AH155" i="3" s="1"/>
  <c r="Y17" i="17"/>
  <c r="AG154" i="3" s="1"/>
  <c r="Y24" i="17"/>
  <c r="AG150" i="3" s="1"/>
  <c r="Y16" i="17"/>
  <c r="Y22" i="17"/>
  <c r="AG147" i="3" s="1"/>
  <c r="Y15" i="17"/>
  <c r="AG143" i="3" s="1"/>
  <c r="Y13" i="17"/>
  <c r="AG142" i="3" s="1"/>
  <c r="Y12" i="17"/>
  <c r="AG140" i="3" s="1"/>
  <c r="Y23" i="17"/>
  <c r="Y11" i="17"/>
  <c r="AG141" i="3" s="1"/>
  <c r="Y14" i="17"/>
  <c r="AG144" i="3" s="1"/>
  <c r="Y19" i="17"/>
  <c r="D100" i="19"/>
  <c r="B37" i="1"/>
  <c r="D44" i="19"/>
  <c r="S10" i="17"/>
  <c r="I26" i="17"/>
  <c r="N16" i="17"/>
  <c r="S11" i="17"/>
  <c r="S20" i="17"/>
  <c r="S18" i="17"/>
  <c r="S14" i="17"/>
  <c r="S21" i="17"/>
  <c r="S13" i="17"/>
  <c r="S17" i="17"/>
  <c r="W17" i="17" s="1"/>
  <c r="AA17" i="17" s="1"/>
  <c r="AK154" i="3" s="1"/>
  <c r="S24" i="17"/>
  <c r="W24" i="17" s="1"/>
  <c r="AA24" i="17" s="1"/>
  <c r="AK150" i="3" s="1"/>
  <c r="S22" i="17"/>
  <c r="W22" i="17" s="1"/>
  <c r="AA22" i="17" s="1"/>
  <c r="AK147" i="3" s="1"/>
  <c r="S15" i="17"/>
  <c r="S12" i="17"/>
  <c r="Z97" i="3"/>
  <c r="Z100" i="3" s="1"/>
  <c r="AA13" i="3"/>
  <c r="W101" i="3"/>
  <c r="Z13" i="3"/>
  <c r="AR140" i="3" l="1"/>
  <c r="AG159" i="3"/>
  <c r="AL148" i="3"/>
  <c r="AO65" i="23" s="1"/>
  <c r="AR148" i="3"/>
  <c r="AL149" i="3"/>
  <c r="AO66" i="23" s="1"/>
  <c r="AR149" i="3"/>
  <c r="AL144" i="3"/>
  <c r="AR144" i="3"/>
  <c r="AL141" i="3"/>
  <c r="AR141" i="3"/>
  <c r="AL142" i="3"/>
  <c r="AR142" i="3"/>
  <c r="AL147" i="3"/>
  <c r="AO64" i="23" s="1"/>
  <c r="AR147" i="3"/>
  <c r="AL150" i="3"/>
  <c r="AO63" i="23" s="1"/>
  <c r="AR150" i="3"/>
  <c r="AL137" i="3"/>
  <c r="AO60" i="23" s="1"/>
  <c r="AR137" i="3"/>
  <c r="AH137" i="3"/>
  <c r="AH144" i="3"/>
  <c r="AH142" i="3"/>
  <c r="AG158" i="3"/>
  <c r="AL140" i="3"/>
  <c r="AH140" i="3"/>
  <c r="AL154" i="3"/>
  <c r="AK138" i="3"/>
  <c r="AG138" i="3"/>
  <c r="AB25" i="17"/>
  <c r="Y25" i="17"/>
  <c r="P22" i="17"/>
  <c r="AH147" i="3" s="1"/>
  <c r="P24" i="17"/>
  <c r="AH150" i="3" s="1"/>
  <c r="AH148" i="3"/>
  <c r="AI148" i="3" s="1"/>
  <c r="AH149" i="3"/>
  <c r="D105" i="19"/>
  <c r="E100" i="19" s="1"/>
  <c r="Z14" i="3"/>
  <c r="AA100" i="3"/>
  <c r="D57" i="19"/>
  <c r="P17" i="17"/>
  <c r="W19" i="17"/>
  <c r="AA19" i="17" s="1"/>
  <c r="S19" i="17"/>
  <c r="S16" i="17"/>
  <c r="AM27" i="13"/>
  <c r="E33" i="13"/>
  <c r="E34" i="13" s="1"/>
  <c r="I27" i="17"/>
  <c r="AL138" i="3" l="1"/>
  <c r="AO61" i="23" s="1"/>
  <c r="AR138" i="3"/>
  <c r="AR158" i="3"/>
  <c r="AH138" i="3"/>
  <c r="P19" i="17"/>
  <c r="AH154" i="3"/>
  <c r="E82" i="19"/>
  <c r="E90" i="19"/>
  <c r="E103" i="19"/>
  <c r="E91" i="19"/>
  <c r="E89" i="19"/>
  <c r="E95" i="19"/>
  <c r="E88" i="19"/>
  <c r="E87" i="19"/>
  <c r="E99" i="19"/>
  <c r="E98" i="19"/>
  <c r="E94" i="19"/>
  <c r="E85" i="19"/>
  <c r="E96" i="19"/>
  <c r="E84" i="19"/>
  <c r="E86" i="19"/>
  <c r="E83" i="19"/>
  <c r="E93" i="19"/>
  <c r="E104" i="19"/>
  <c r="E92" i="19"/>
  <c r="E97" i="19"/>
  <c r="E102" i="19"/>
  <c r="S23" i="17"/>
  <c r="S25" i="17" s="1"/>
  <c r="P11" i="17"/>
  <c r="AH141" i="3" s="1"/>
  <c r="W15" i="17"/>
  <c r="AA15" i="17" s="1"/>
  <c r="AK143" i="3" s="1"/>
  <c r="AK159" i="3" s="1"/>
  <c r="AR159" i="3" s="1"/>
  <c r="BC27" i="13"/>
  <c r="BE27" i="13"/>
  <c r="F27" i="13"/>
  <c r="AN27" i="13" s="1"/>
  <c r="F26" i="13"/>
  <c r="AN26" i="13" s="1"/>
  <c r="F24" i="13"/>
  <c r="G29" i="13"/>
  <c r="F25" i="13"/>
  <c r="AN25" i="13" s="1"/>
  <c r="AM28" i="13"/>
  <c r="AK158" i="3" l="1"/>
  <c r="AR143" i="3"/>
  <c r="AK151" i="3"/>
  <c r="AL143" i="3"/>
  <c r="AO67" i="23" s="1"/>
  <c r="F29" i="13"/>
  <c r="BF27" i="13"/>
  <c r="P15" i="17"/>
  <c r="W16" i="17"/>
  <c r="AA16" i="17" s="1"/>
  <c r="BE28" i="13"/>
  <c r="AN24" i="13"/>
  <c r="AN28" i="13" s="1"/>
  <c r="AR151" i="3" l="1"/>
  <c r="AL151" i="3"/>
  <c r="AL158" i="3"/>
  <c r="W23" i="17"/>
  <c r="AA23" i="17" s="1"/>
  <c r="AA25" i="17" s="1"/>
  <c r="P16" i="17"/>
  <c r="D15" i="4"/>
  <c r="W25" i="17" l="1"/>
  <c r="P25" i="17" s="1"/>
  <c r="AG151" i="3"/>
  <c r="AG131" i="3" s="1"/>
  <c r="AH143" i="3"/>
  <c r="P23" i="17"/>
  <c r="D16" i="4"/>
  <c r="D27" i="3"/>
  <c r="AH151" i="3" l="1"/>
  <c r="AH158" i="3"/>
  <c r="D28" i="3"/>
  <c r="AX30" i="13" l="1"/>
  <c r="N17" i="17" l="1"/>
  <c r="N19" i="17" s="1"/>
  <c r="BC28" i="13"/>
  <c r="D64" i="19"/>
  <c r="AG7" i="3"/>
  <c r="AG12" i="3" s="1"/>
  <c r="D49" i="4"/>
  <c r="D35" i="3" s="1"/>
  <c r="B56" i="1" l="1"/>
  <c r="D124" i="4" s="1"/>
  <c r="E49" i="4"/>
  <c r="E35" i="3" s="1"/>
  <c r="D63" i="4"/>
  <c r="AG13" i="3"/>
  <c r="E63" i="4" l="1"/>
  <c r="R24" i="13" s="1"/>
  <c r="S24" i="13" s="1"/>
  <c r="F49" i="4"/>
  <c r="S9" i="3"/>
  <c r="C1" i="18" s="1"/>
  <c r="D77" i="19"/>
  <c r="F35" i="3"/>
  <c r="G49" i="4"/>
  <c r="F63" i="4"/>
  <c r="D68" i="4"/>
  <c r="D44" i="3" s="1"/>
  <c r="D42" i="3"/>
  <c r="D65" i="4"/>
  <c r="D67" i="4"/>
  <c r="E42" i="3" l="1"/>
  <c r="P25" i="23" s="1"/>
  <c r="E68" i="4"/>
  <c r="E65" i="4"/>
  <c r="E79" i="4"/>
  <c r="BE113" i="4" s="1"/>
  <c r="D43" i="3"/>
  <c r="F45" i="3" s="1"/>
  <c r="B9" i="21"/>
  <c r="F79" i="4"/>
  <c r="BF113" i="4" s="1"/>
  <c r="H49" i="4"/>
  <c r="G35" i="3"/>
  <c r="G63" i="4"/>
  <c r="F42" i="3"/>
  <c r="F65" i="4"/>
  <c r="F68" i="4"/>
  <c r="E48" i="3" l="1"/>
  <c r="D3" i="13"/>
  <c r="F44" i="3"/>
  <c r="E4" i="13"/>
  <c r="E44" i="3"/>
  <c r="D4" i="13"/>
  <c r="F48" i="3"/>
  <c r="Q25" i="23"/>
  <c r="C12" i="21"/>
  <c r="C5" i="21" s="1"/>
  <c r="D17" i="21" s="1"/>
  <c r="D19" i="21" s="1"/>
  <c r="C3" i="21"/>
  <c r="C16" i="21" s="1"/>
  <c r="B16" i="21"/>
  <c r="E3" i="13"/>
  <c r="G68" i="4"/>
  <c r="G42" i="3"/>
  <c r="F3" i="13" s="1"/>
  <c r="G79" i="4"/>
  <c r="BG113" i="4" s="1"/>
  <c r="G65" i="4"/>
  <c r="I49" i="4"/>
  <c r="H35" i="3"/>
  <c r="H63" i="4"/>
  <c r="G44" i="3" l="1"/>
  <c r="F4" i="13"/>
  <c r="F5" i="13" s="1"/>
  <c r="D5" i="13"/>
  <c r="E5" i="13"/>
  <c r="G48" i="3"/>
  <c r="R25" i="23"/>
  <c r="H79" i="4"/>
  <c r="BH113" i="4" s="1"/>
  <c r="H42" i="3"/>
  <c r="H68" i="4"/>
  <c r="H65" i="4"/>
  <c r="H12" i="13"/>
  <c r="I35" i="3"/>
  <c r="J49" i="4"/>
  <c r="I63" i="4"/>
  <c r="H44" i="3" l="1"/>
  <c r="G4" i="13"/>
  <c r="S25" i="23"/>
  <c r="G3" i="13"/>
  <c r="H48" i="3"/>
  <c r="H13" i="13"/>
  <c r="O24" i="13"/>
  <c r="I42" i="3"/>
  <c r="H3" i="13" s="1"/>
  <c r="I68" i="4"/>
  <c r="I79" i="4"/>
  <c r="BI113" i="4" s="1"/>
  <c r="I65" i="4"/>
  <c r="J35" i="3"/>
  <c r="J63" i="4"/>
  <c r="K49" i="4"/>
  <c r="G24" i="13" l="1"/>
  <c r="AN53" i="23" s="1"/>
  <c r="I44" i="3"/>
  <c r="H4" i="13"/>
  <c r="H5" i="13" s="1"/>
  <c r="G5" i="13"/>
  <c r="I48" i="3"/>
  <c r="T25" i="23"/>
  <c r="D12" i="21"/>
  <c r="D5" i="21" s="1"/>
  <c r="H17" i="21" s="1"/>
  <c r="H19" i="21" s="1"/>
  <c r="K63" i="4"/>
  <c r="K35" i="3"/>
  <c r="L49" i="4"/>
  <c r="J68" i="4"/>
  <c r="J65" i="4"/>
  <c r="J42" i="3"/>
  <c r="J79" i="4"/>
  <c r="BJ113" i="4" s="1"/>
  <c r="P24" i="13"/>
  <c r="O26" i="13"/>
  <c r="O27" i="13" s="1"/>
  <c r="X24" i="13"/>
  <c r="AQ24" i="13" l="1"/>
  <c r="BH24" i="13" s="1"/>
  <c r="D38" i="20"/>
  <c r="AS24" i="13"/>
  <c r="J24" i="13"/>
  <c r="V24" i="13"/>
  <c r="H24" i="13"/>
  <c r="AE24" i="13"/>
  <c r="J44" i="3"/>
  <c r="I4" i="13"/>
  <c r="AP24" i="23"/>
  <c r="I3" i="13"/>
  <c r="J12" i="13" s="1"/>
  <c r="J13" i="13" s="1"/>
  <c r="J48" i="3"/>
  <c r="X27" i="13"/>
  <c r="F113" i="4" s="1"/>
  <c r="F114" i="4" s="1"/>
  <c r="BT120" i="4" s="1"/>
  <c r="P27" i="13"/>
  <c r="L35" i="3"/>
  <c r="L63" i="4"/>
  <c r="M49" i="4"/>
  <c r="O28" i="13"/>
  <c r="P26" i="13"/>
  <c r="AT26" i="13" s="1"/>
  <c r="X26" i="13"/>
  <c r="AT24" i="13"/>
  <c r="O77" i="4"/>
  <c r="O78" i="4" s="1"/>
  <c r="BO106" i="4" s="1"/>
  <c r="J77" i="4"/>
  <c r="J78" i="4" s="1"/>
  <c r="BJ106" i="4" s="1"/>
  <c r="K77" i="4"/>
  <c r="K78" i="4" s="1"/>
  <c r="BK106" i="4" s="1"/>
  <c r="F77" i="4"/>
  <c r="F78" i="4" s="1"/>
  <c r="BF106" i="4" s="1"/>
  <c r="G77" i="4"/>
  <c r="G78" i="4" s="1"/>
  <c r="BG106" i="4" s="1"/>
  <c r="I77" i="4"/>
  <c r="I78" i="4" s="1"/>
  <c r="BI106" i="4" s="1"/>
  <c r="L77" i="4"/>
  <c r="L78" i="4" s="1"/>
  <c r="BL106" i="4" s="1"/>
  <c r="M77" i="4"/>
  <c r="M78" i="4" s="1"/>
  <c r="BM106" i="4" s="1"/>
  <c r="H77" i="4"/>
  <c r="H78" i="4" s="1"/>
  <c r="BH106" i="4" s="1"/>
  <c r="E77" i="4"/>
  <c r="E78" i="4" s="1"/>
  <c r="N77" i="4"/>
  <c r="N78" i="4" s="1"/>
  <c r="BN106" i="4" s="1"/>
  <c r="K68" i="4"/>
  <c r="K65" i="4"/>
  <c r="K79" i="4"/>
  <c r="BK113" i="4" s="1"/>
  <c r="K42" i="3"/>
  <c r="J3" i="13" s="1"/>
  <c r="AR24" i="13" l="1"/>
  <c r="BI24" i="13" s="1"/>
  <c r="BE106" i="4"/>
  <c r="K44" i="3"/>
  <c r="J4" i="13"/>
  <c r="J5" i="13" s="1"/>
  <c r="I5" i="13"/>
  <c r="AQ24" i="23"/>
  <c r="K48" i="3"/>
  <c r="AF27" i="13"/>
  <c r="I6" i="17"/>
  <c r="AT27" i="13"/>
  <c r="AT28" i="13" s="1"/>
  <c r="J113" i="4"/>
  <c r="J114" i="4" s="1"/>
  <c r="BX120" i="4" s="1"/>
  <c r="L113" i="4"/>
  <c r="L114" i="4" s="1"/>
  <c r="BZ120" i="4" s="1"/>
  <c r="O113" i="4"/>
  <c r="O114" i="4" s="1"/>
  <c r="CC120" i="4" s="1"/>
  <c r="Q113" i="4"/>
  <c r="K113" i="4"/>
  <c r="K114" i="4" s="1"/>
  <c r="BY120" i="4" s="1"/>
  <c r="G113" i="4"/>
  <c r="G114" i="4" s="1"/>
  <c r="BU120" i="4" s="1"/>
  <c r="E113" i="4"/>
  <c r="E114" i="4" s="1"/>
  <c r="BS120" i="4" s="1"/>
  <c r="M113" i="4"/>
  <c r="M114" i="4" s="1"/>
  <c r="CA120" i="4" s="1"/>
  <c r="H113" i="4"/>
  <c r="H114" i="4" s="1"/>
  <c r="BV120" i="4" s="1"/>
  <c r="N113" i="4"/>
  <c r="N114" i="4" s="1"/>
  <c r="CB120" i="4" s="1"/>
  <c r="I113" i="4"/>
  <c r="I114" i="4" s="1"/>
  <c r="BW120" i="4" s="1"/>
  <c r="P28" i="13"/>
  <c r="O101" i="4"/>
  <c r="F101" i="4"/>
  <c r="J101" i="4"/>
  <c r="E101" i="4"/>
  <c r="K101" i="4"/>
  <c r="L101" i="4"/>
  <c r="I101" i="4"/>
  <c r="N101" i="4"/>
  <c r="H101" i="4"/>
  <c r="G101" i="4"/>
  <c r="M101" i="4"/>
  <c r="Q101" i="4"/>
  <c r="M63" i="4"/>
  <c r="M35" i="3"/>
  <c r="N49" i="4"/>
  <c r="L42" i="3"/>
  <c r="K3" i="13" s="1"/>
  <c r="L65" i="4"/>
  <c r="L79" i="4"/>
  <c r="BL113" i="4" s="1"/>
  <c r="L68" i="4"/>
  <c r="D83" i="4" l="1"/>
  <c r="D81" i="4" s="1"/>
  <c r="J8" i="23"/>
  <c r="T63" i="23" s="1"/>
  <c r="L81" i="4"/>
  <c r="E81" i="4"/>
  <c r="P81" i="4"/>
  <c r="F81" i="4"/>
  <c r="G81" i="4"/>
  <c r="H81" i="4"/>
  <c r="I81" i="4"/>
  <c r="J81" i="4"/>
  <c r="K81" i="4"/>
  <c r="L44" i="3"/>
  <c r="K4" i="13"/>
  <c r="L48" i="3"/>
  <c r="AR24" i="23"/>
  <c r="E12" i="21"/>
  <c r="E5" i="21" s="1"/>
  <c r="L17" i="21" s="1"/>
  <c r="L19" i="21" s="1"/>
  <c r="J102" i="4"/>
  <c r="BX95" i="4" s="1"/>
  <c r="F102" i="4"/>
  <c r="BT95" i="4" s="1"/>
  <c r="O102" i="4"/>
  <c r="CC95" i="4" s="1"/>
  <c r="I102" i="4"/>
  <c r="BW95" i="4" s="1"/>
  <c r="L102" i="4"/>
  <c r="BZ95" i="4" s="1"/>
  <c r="K102" i="4"/>
  <c r="BY95" i="4" s="1"/>
  <c r="E102" i="4"/>
  <c r="BS95" i="4" s="1"/>
  <c r="G102" i="4"/>
  <c r="M102" i="4"/>
  <c r="CA95" i="4" s="1"/>
  <c r="H102" i="4"/>
  <c r="BV95" i="4" s="1"/>
  <c r="N102" i="4"/>
  <c r="CB95" i="4" s="1"/>
  <c r="Q114" i="4"/>
  <c r="N35" i="3"/>
  <c r="O49" i="4"/>
  <c r="N63" i="4"/>
  <c r="M81" i="4" s="1"/>
  <c r="M65" i="4"/>
  <c r="M68" i="4"/>
  <c r="M79" i="4"/>
  <c r="BM113" i="4" s="1"/>
  <c r="M42" i="3"/>
  <c r="L3" i="13" s="1"/>
  <c r="E76" i="4" l="1"/>
  <c r="E80" i="4" s="1"/>
  <c r="Q76" i="4"/>
  <c r="BU95" i="4"/>
  <c r="M44" i="3"/>
  <c r="L4" i="13"/>
  <c r="L5" i="13" s="1"/>
  <c r="K5" i="13"/>
  <c r="M48" i="3"/>
  <c r="AS24" i="23"/>
  <c r="N42" i="3"/>
  <c r="M3" i="13" s="1"/>
  <c r="N79" i="4"/>
  <c r="BN113" i="4" s="1"/>
  <c r="N65" i="4"/>
  <c r="N68" i="4"/>
  <c r="P49" i="4"/>
  <c r="O63" i="4"/>
  <c r="N81" i="4" s="1"/>
  <c r="O35" i="3"/>
  <c r="N44" i="3" l="1"/>
  <c r="M4" i="13"/>
  <c r="N48" i="3"/>
  <c r="AT24" i="23"/>
  <c r="P35" i="3"/>
  <c r="Q35" i="3" s="1"/>
  <c r="P63" i="4"/>
  <c r="Q49" i="4"/>
  <c r="O65" i="4"/>
  <c r="O42" i="3"/>
  <c r="N3" i="13" s="1"/>
  <c r="O79" i="4"/>
  <c r="BO113" i="4" s="1"/>
  <c r="O68" i="4"/>
  <c r="E82" i="4"/>
  <c r="O44" i="3" l="1"/>
  <c r="N4" i="13"/>
  <c r="N5" i="13" s="1"/>
  <c r="O81" i="4"/>
  <c r="M5" i="13"/>
  <c r="O48" i="3"/>
  <c r="X25" i="23"/>
  <c r="F12" i="21"/>
  <c r="F5" i="21" s="1"/>
  <c r="P17" i="21" s="1"/>
  <c r="P19" i="21" s="1"/>
  <c r="E83" i="4"/>
  <c r="BE76" i="4" s="1"/>
  <c r="BS76" i="4"/>
  <c r="E91" i="4"/>
  <c r="P65" i="4"/>
  <c r="P42" i="3"/>
  <c r="O3" i="13" s="1"/>
  <c r="P79" i="4"/>
  <c r="P77" i="4" s="1"/>
  <c r="P89" i="4" s="1"/>
  <c r="P68" i="4"/>
  <c r="Q63" i="4"/>
  <c r="Q69" i="4" s="1"/>
  <c r="Q65" i="4" l="1"/>
  <c r="S63" i="4"/>
  <c r="P44" i="3"/>
  <c r="Q44" i="3" s="1"/>
  <c r="O4" i="13"/>
  <c r="O5" i="13" s="1"/>
  <c r="P48" i="3"/>
  <c r="Q48" i="3" s="1"/>
  <c r="C9" i="18" s="1"/>
  <c r="Y25" i="23"/>
  <c r="Q79" i="4"/>
  <c r="BP113" i="4"/>
  <c r="E85" i="4"/>
  <c r="E86" i="4" s="1"/>
  <c r="U42" i="3"/>
  <c r="T42" i="3"/>
  <c r="C5" i="18" s="1"/>
  <c r="Q42" i="3"/>
  <c r="R42" i="3"/>
  <c r="U77" i="3"/>
  <c r="S42" i="3"/>
  <c r="P78" i="4"/>
  <c r="Q78" i="4" s="1"/>
  <c r="AA24" i="13"/>
  <c r="BS101" i="4" l="1"/>
  <c r="S79" i="4"/>
  <c r="T63" i="4"/>
  <c r="BP106" i="4"/>
  <c r="AU24" i="13"/>
  <c r="E11" i="4"/>
  <c r="F76" i="4"/>
  <c r="U63" i="4" l="1"/>
  <c r="T79" i="4"/>
  <c r="T77" i="4" s="1"/>
  <c r="Q80" i="4"/>
  <c r="F80" i="4"/>
  <c r="V63" i="4" l="1"/>
  <c r="U79" i="4"/>
  <c r="F82" i="4"/>
  <c r="W63" i="4" l="1"/>
  <c r="V79" i="4"/>
  <c r="V77" i="4" s="1"/>
  <c r="F83" i="4"/>
  <c r="F87" i="4" s="1"/>
  <c r="BT76" i="4"/>
  <c r="F91" i="4"/>
  <c r="X63" i="4" l="1"/>
  <c r="W79" i="4"/>
  <c r="F85" i="4"/>
  <c r="F86" i="4" s="1"/>
  <c r="BF76" i="4"/>
  <c r="BT101" i="4" l="1"/>
  <c r="Y63" i="4"/>
  <c r="X79" i="4"/>
  <c r="X77" i="4" s="1"/>
  <c r="F11" i="4"/>
  <c r="G76" i="4"/>
  <c r="Z63" i="4" l="1"/>
  <c r="Y79" i="4"/>
  <c r="G80" i="4"/>
  <c r="AA63" i="4" l="1"/>
  <c r="Z79" i="4"/>
  <c r="Z77" i="4" s="1"/>
  <c r="G82" i="4"/>
  <c r="BU76" i="4" l="1"/>
  <c r="AB63" i="4"/>
  <c r="AA79" i="4"/>
  <c r="G83" i="4"/>
  <c r="G91" i="4"/>
  <c r="AB79" i="4" l="1"/>
  <c r="AB77" i="4" s="1"/>
  <c r="AC63" i="4"/>
  <c r="BG76" i="4"/>
  <c r="G85" i="4"/>
  <c r="G86" i="4" s="1"/>
  <c r="AC79" i="4" l="1"/>
  <c r="AD63" i="4"/>
  <c r="BU101" i="4"/>
  <c r="G11" i="4"/>
  <c r="H76" i="4"/>
  <c r="AE63" i="4" l="1"/>
  <c r="AD79" i="4"/>
  <c r="AD77" i="4" s="1"/>
  <c r="H80" i="4"/>
  <c r="AE79" i="4" l="1"/>
  <c r="AF63" i="4"/>
  <c r="H82" i="4"/>
  <c r="AG63" i="4" l="1"/>
  <c r="AF79" i="4"/>
  <c r="AF77" i="4" s="1"/>
  <c r="H83" i="4"/>
  <c r="BH76" i="4" s="1"/>
  <c r="BV76" i="4"/>
  <c r="H91" i="4"/>
  <c r="AH63" i="4" l="1"/>
  <c r="AG79" i="4"/>
  <c r="H85" i="4"/>
  <c r="H86" i="4" s="1"/>
  <c r="AH79" i="4" l="1"/>
  <c r="AH77" i="4" s="1"/>
  <c r="AI63" i="4"/>
  <c r="BV101" i="4"/>
  <c r="H11" i="4"/>
  <c r="I76" i="4"/>
  <c r="AI79" i="4" l="1"/>
  <c r="AJ63" i="4"/>
  <c r="I80" i="4"/>
  <c r="AK63" i="4" l="1"/>
  <c r="AJ79" i="4"/>
  <c r="AJ77" i="4" s="1"/>
  <c r="I82" i="4"/>
  <c r="AL63" i="4" l="1"/>
  <c r="AL79" i="4" s="1"/>
  <c r="AL77" i="4" s="1"/>
  <c r="AK79" i="4"/>
  <c r="I83" i="4"/>
  <c r="BI76" i="4" s="1"/>
  <c r="BW76" i="4"/>
  <c r="I91" i="4"/>
  <c r="I85" i="4" l="1"/>
  <c r="I86" i="4" s="1"/>
  <c r="BW101" i="4" l="1"/>
  <c r="I11" i="4"/>
  <c r="J76" i="4"/>
  <c r="J80" i="4" l="1"/>
  <c r="J82" i="4" l="1"/>
  <c r="J91" i="4" l="1"/>
  <c r="BX76" i="4"/>
  <c r="J83" i="4"/>
  <c r="J85" i="4" l="1"/>
  <c r="J86" i="4" s="1"/>
  <c r="BJ76" i="4"/>
  <c r="J11" i="4" l="1"/>
  <c r="BX101" i="4"/>
  <c r="K76" i="4"/>
  <c r="K80" i="4" l="1"/>
  <c r="K82" i="4" l="1"/>
  <c r="BY76" i="4" l="1"/>
  <c r="K83" i="4"/>
  <c r="BK76" i="4" s="1"/>
  <c r="K91" i="4"/>
  <c r="K85" i="4" l="1"/>
  <c r="K86" i="4" s="1"/>
  <c r="K11" i="4" l="1"/>
  <c r="L76" i="4"/>
  <c r="L80" i="4" s="1"/>
  <c r="BY101" i="4"/>
  <c r="L82" i="4" l="1"/>
  <c r="L91" i="4" l="1"/>
  <c r="BZ76" i="4"/>
  <c r="L83" i="4"/>
  <c r="BL76" i="4" s="1"/>
  <c r="L85" i="4" l="1"/>
  <c r="L86" i="4" s="1"/>
  <c r="L11" i="4" l="1"/>
  <c r="M76" i="4"/>
  <c r="M80" i="4" s="1"/>
  <c r="BZ101" i="4"/>
  <c r="M82" i="4" l="1"/>
  <c r="M91" i="4" l="1"/>
  <c r="CA76" i="4"/>
  <c r="M83" i="4"/>
  <c r="BM76" i="4" s="1"/>
  <c r="M85" i="4" l="1"/>
  <c r="M86" i="4" s="1"/>
  <c r="M11" i="4" l="1"/>
  <c r="N76" i="4"/>
  <c r="N80" i="4" s="1"/>
  <c r="CA101" i="4"/>
  <c r="N82" i="4" l="1"/>
  <c r="N91" i="4" l="1"/>
  <c r="CB76" i="4"/>
  <c r="N83" i="4"/>
  <c r="BN76" i="4" l="1"/>
  <c r="N85" i="4"/>
  <c r="N86" i="4" s="1"/>
  <c r="N11" i="4" l="1"/>
  <c r="CB101" i="4"/>
  <c r="O76" i="4"/>
  <c r="O80" i="4" l="1"/>
  <c r="O82" i="4" l="1"/>
  <c r="O83" i="4" l="1"/>
  <c r="O91" i="4"/>
  <c r="CC76" i="4"/>
  <c r="BO76" i="4" l="1"/>
  <c r="O85" i="4"/>
  <c r="O86" i="4" s="1"/>
  <c r="O11" i="4" l="1"/>
  <c r="P76" i="4"/>
  <c r="P80" i="4" s="1"/>
  <c r="P82" i="4" s="1"/>
  <c r="CC101" i="4"/>
  <c r="CD76" i="4" l="1"/>
  <c r="Q82" i="4"/>
  <c r="P91" i="4"/>
  <c r="Q91" i="4" s="1"/>
  <c r="R91" i="4" s="1"/>
  <c r="P83" i="4"/>
  <c r="BP76" i="4" l="1"/>
  <c r="P85" i="4"/>
  <c r="Q85" i="4" s="1"/>
  <c r="AY83" i="4" l="1"/>
  <c r="P86" i="4"/>
  <c r="Q86" i="4" l="1"/>
  <c r="AY89" i="4" s="1"/>
  <c r="S76" i="4"/>
  <c r="P11" i="4"/>
  <c r="Q11" i="4" s="1"/>
  <c r="Q83" i="4"/>
  <c r="CD101" i="4"/>
  <c r="S81" i="4" l="1"/>
  <c r="R83" i="4"/>
  <c r="Q84" i="4"/>
  <c r="S84" i="4" s="1"/>
  <c r="T84" i="4" s="1"/>
  <c r="U84" i="4" s="1"/>
  <c r="V84" i="4" s="1"/>
  <c r="W84" i="4" s="1"/>
  <c r="X84" i="4" s="1"/>
  <c r="Y84" i="4" s="1"/>
  <c r="Z84" i="4" s="1"/>
  <c r="AA84" i="4" s="1"/>
  <c r="AB84" i="4" s="1"/>
  <c r="AC84" i="4" s="1"/>
  <c r="AD84" i="4" s="1"/>
  <c r="AE84" i="4" s="1"/>
  <c r="AF84" i="4" s="1"/>
  <c r="AG84" i="4" s="1"/>
  <c r="AH84" i="4" s="1"/>
  <c r="AI84" i="4" s="1"/>
  <c r="AJ84" i="4" s="1"/>
  <c r="AK84" i="4" s="1"/>
  <c r="AL84" i="4" s="1"/>
  <c r="AY77" i="4"/>
  <c r="J28" i="13"/>
  <c r="J16" i="13" l="1"/>
  <c r="J18" i="13" s="1"/>
  <c r="G25" i="13" s="1"/>
  <c r="AN54" i="23" s="1"/>
  <c r="C6" i="18" l="1"/>
  <c r="V25" i="13"/>
  <c r="D43" i="20"/>
  <c r="J25" i="13"/>
  <c r="H25" i="13"/>
  <c r="R25" i="13"/>
  <c r="AA25" i="13" s="1"/>
  <c r="AE25" i="13"/>
  <c r="L24" i="13"/>
  <c r="AS25" i="13"/>
  <c r="AQ25" i="13"/>
  <c r="AR25" i="13" s="1"/>
  <c r="T60" i="23"/>
  <c r="AD6" i="23"/>
  <c r="R26" i="13" l="1"/>
  <c r="AA26" i="13" s="1"/>
  <c r="P90" i="4"/>
  <c r="Q90" i="4" s="1"/>
  <c r="S25" i="13"/>
  <c r="AU25" i="13" s="1"/>
  <c r="J9" i="23"/>
  <c r="T64" i="23" s="1"/>
  <c r="T62" i="23" s="1"/>
  <c r="D95" i="4"/>
  <c r="BI25" i="13"/>
  <c r="P101" i="4" l="1"/>
  <c r="P102" i="4" s="1"/>
  <c r="S26" i="13"/>
  <c r="AU26" i="13" s="1"/>
  <c r="AU28" i="13" s="1"/>
  <c r="CD89" i="4"/>
  <c r="E88" i="4"/>
  <c r="Q88" i="4"/>
  <c r="Q92" i="4" s="1"/>
  <c r="CD95" i="4" l="1"/>
  <c r="S28" i="13"/>
  <c r="Q102" i="4"/>
  <c r="E92" i="4"/>
  <c r="E94" i="4" l="1"/>
  <c r="E103" i="4" l="1"/>
  <c r="BS83" i="4"/>
  <c r="E95" i="4"/>
  <c r="BE82" i="4" l="1"/>
  <c r="E97" i="4"/>
  <c r="E98" i="4" l="1"/>
  <c r="E12" i="4" l="1"/>
  <c r="BS108" i="4"/>
  <c r="F88" i="4"/>
  <c r="F92" i="4" l="1"/>
  <c r="E15" i="4"/>
  <c r="E27" i="3" l="1"/>
  <c r="E16" i="4"/>
  <c r="F94" i="4"/>
  <c r="F103" i="4" l="1"/>
  <c r="BT83" i="4"/>
  <c r="E28" i="3"/>
  <c r="E67" i="4"/>
  <c r="E43" i="3" s="1"/>
  <c r="F95" i="4"/>
  <c r="BF82" i="4" l="1"/>
  <c r="F97" i="4"/>
  <c r="P24" i="23"/>
  <c r="P26" i="23" s="1"/>
  <c r="D2" i="13"/>
  <c r="K76" i="3"/>
  <c r="AN21" i="23"/>
  <c r="E47" i="3"/>
  <c r="AN38" i="23" s="1"/>
  <c r="G45" i="3"/>
  <c r="E49" i="3"/>
  <c r="F98" i="4" l="1"/>
  <c r="F12" i="4" l="1"/>
  <c r="BT108" i="4"/>
  <c r="G88" i="4"/>
  <c r="G92" i="4" l="1"/>
  <c r="F15" i="4"/>
  <c r="F27" i="3" l="1"/>
  <c r="F16" i="4"/>
  <c r="G94" i="4"/>
  <c r="G95" i="4" s="1"/>
  <c r="BG82" i="4" l="1"/>
  <c r="G97" i="4"/>
  <c r="G103" i="4"/>
  <c r="BU83" i="4"/>
  <c r="F28" i="3"/>
  <c r="F67" i="4"/>
  <c r="F43" i="3" s="1"/>
  <c r="Q24" i="23" l="1"/>
  <c r="Q26" i="23" s="1"/>
  <c r="E2" i="13"/>
  <c r="G98" i="4"/>
  <c r="AN22" i="23"/>
  <c r="H45" i="3"/>
  <c r="F47" i="3"/>
  <c r="AN39" i="23" s="1"/>
  <c r="E76" i="3"/>
  <c r="F49" i="3"/>
  <c r="BU108" i="4" l="1"/>
  <c r="G12" i="4"/>
  <c r="H88" i="4"/>
  <c r="H92" i="4" l="1"/>
  <c r="G15" i="4"/>
  <c r="G27" i="3" l="1"/>
  <c r="G16" i="4"/>
  <c r="H94" i="4"/>
  <c r="H95" i="4" s="1"/>
  <c r="BH82" i="4" l="1"/>
  <c r="H97" i="4"/>
  <c r="G28" i="3"/>
  <c r="F2" i="13" s="1"/>
  <c r="G67" i="4"/>
  <c r="G43" i="3" s="1"/>
  <c r="C4" i="21"/>
  <c r="H103" i="4"/>
  <c r="BV83" i="4"/>
  <c r="C17" i="21" l="1"/>
  <c r="C9" i="21"/>
  <c r="D3" i="21" s="1"/>
  <c r="I45" i="3"/>
  <c r="AN24" i="23"/>
  <c r="G47" i="3"/>
  <c r="AN41" i="23" s="1"/>
  <c r="G49" i="3"/>
  <c r="R24" i="23"/>
  <c r="R26" i="23" s="1"/>
  <c r="H98" i="4"/>
  <c r="BV108" i="4" l="1"/>
  <c r="H12" i="4"/>
  <c r="I88" i="4"/>
  <c r="G16" i="21"/>
  <c r="C19" i="21"/>
  <c r="D16" i="21"/>
  <c r="E16" i="21" l="1"/>
  <c r="F16" i="21" s="1"/>
  <c r="I92" i="4"/>
  <c r="H15" i="4"/>
  <c r="H27" i="3" l="1"/>
  <c r="H16" i="4"/>
  <c r="I94" i="4"/>
  <c r="BW83" i="4" l="1"/>
  <c r="I103" i="4"/>
  <c r="I95" i="4"/>
  <c r="H28" i="3"/>
  <c r="G2" i="13" s="1"/>
  <c r="H67" i="4"/>
  <c r="H43" i="3" s="1"/>
  <c r="S24" i="23" l="1"/>
  <c r="S26" i="23" s="1"/>
  <c r="BI82" i="4"/>
  <c r="I97" i="4"/>
  <c r="J45" i="3"/>
  <c r="AN25" i="23"/>
  <c r="E77" i="3"/>
  <c r="H49" i="3"/>
  <c r="H47" i="3"/>
  <c r="AN42" i="23" s="1"/>
  <c r="I98" i="4" l="1"/>
  <c r="BW108" i="4" l="1"/>
  <c r="I12" i="4"/>
  <c r="J88" i="4"/>
  <c r="J92" i="4" l="1"/>
  <c r="I15" i="4"/>
  <c r="I16" i="4" l="1"/>
  <c r="I27" i="3"/>
  <c r="J94" i="4"/>
  <c r="BX83" i="4" l="1"/>
  <c r="J103" i="4"/>
  <c r="J95" i="4"/>
  <c r="I28" i="3"/>
  <c r="H2" i="13" s="1"/>
  <c r="I67" i="4"/>
  <c r="I43" i="3" s="1"/>
  <c r="K45" i="3" l="1"/>
  <c r="AN26" i="23"/>
  <c r="I49" i="3"/>
  <c r="I47" i="3"/>
  <c r="AN43" i="23" s="1"/>
  <c r="T24" i="23"/>
  <c r="T26" i="23" s="1"/>
  <c r="BJ82" i="4"/>
  <c r="J97" i="4"/>
  <c r="J98" i="4" s="1"/>
  <c r="K88" i="4" s="1"/>
  <c r="K92" i="4" l="1"/>
  <c r="BX108" i="4"/>
  <c r="J12" i="4"/>
  <c r="J15" i="4" l="1"/>
  <c r="J16" i="4" s="1"/>
  <c r="K94" i="4"/>
  <c r="J27" i="3" l="1"/>
  <c r="BY83" i="4"/>
  <c r="K103" i="4"/>
  <c r="K95" i="4"/>
  <c r="J67" i="4"/>
  <c r="J43" i="3" s="1"/>
  <c r="J28" i="3"/>
  <c r="I2" i="13" s="1"/>
  <c r="D4" i="21"/>
  <c r="G17" i="21" l="1"/>
  <c r="D9" i="21"/>
  <c r="E3" i="21" s="1"/>
  <c r="AP23" i="23"/>
  <c r="AP25" i="23" s="1"/>
  <c r="L45" i="3"/>
  <c r="AN27" i="23"/>
  <c r="J47" i="3"/>
  <c r="AN44" i="23" s="1"/>
  <c r="K77" i="3"/>
  <c r="J49" i="3"/>
  <c r="E78" i="3"/>
  <c r="E79" i="3" s="1"/>
  <c r="BK82" i="4"/>
  <c r="K97" i="4"/>
  <c r="K98" i="4" s="1"/>
  <c r="L88" i="4" s="1"/>
  <c r="L92" i="4" l="1"/>
  <c r="K16" i="21"/>
  <c r="K12" i="4"/>
  <c r="BY108" i="4"/>
  <c r="G19" i="21"/>
  <c r="H16" i="21"/>
  <c r="I16" i="21" l="1"/>
  <c r="J16" i="21" s="1"/>
  <c r="K15" i="4"/>
  <c r="K16" i="4" s="1"/>
  <c r="L94" i="4"/>
  <c r="L95" i="4" s="1"/>
  <c r="K27" i="3" l="1"/>
  <c r="BL82" i="4"/>
  <c r="L97" i="4"/>
  <c r="L98" i="4" s="1"/>
  <c r="L103" i="4"/>
  <c r="BZ83" i="4"/>
  <c r="K67" i="4"/>
  <c r="K43" i="3" s="1"/>
  <c r="K28" i="3"/>
  <c r="J2" i="13" s="1"/>
  <c r="AQ23" i="23" l="1"/>
  <c r="AQ25" i="23" s="1"/>
  <c r="AN28" i="23"/>
  <c r="M45" i="3"/>
  <c r="K49" i="3"/>
  <c r="K47" i="3"/>
  <c r="AN45" i="23" s="1"/>
  <c r="L12" i="4"/>
  <c r="BZ108" i="4"/>
  <c r="M88" i="4"/>
  <c r="L15" i="4" l="1"/>
  <c r="L16" i="4" s="1"/>
  <c r="M92" i="4"/>
  <c r="L27" i="3" l="1"/>
  <c r="L67" i="4"/>
  <c r="L43" i="3" s="1"/>
  <c r="L28" i="3"/>
  <c r="K2" i="13" s="1"/>
  <c r="M94" i="4"/>
  <c r="M95" i="4" s="1"/>
  <c r="AR23" i="23" l="1"/>
  <c r="AR25" i="23" s="1"/>
  <c r="BM82" i="4"/>
  <c r="M97" i="4"/>
  <c r="M98" i="4" s="1"/>
  <c r="M103" i="4"/>
  <c r="CA83" i="4"/>
  <c r="AN29" i="23"/>
  <c r="N45" i="3"/>
  <c r="L47" i="3"/>
  <c r="AN46" i="23" s="1"/>
  <c r="L49" i="3"/>
  <c r="M12" i="4" l="1"/>
  <c r="CA108" i="4"/>
  <c r="N88" i="4"/>
  <c r="M15" i="4" l="1"/>
  <c r="M16" i="4" s="1"/>
  <c r="N92" i="4"/>
  <c r="M27" i="3" l="1"/>
  <c r="M67" i="4"/>
  <c r="M43" i="3" s="1"/>
  <c r="M28" i="3"/>
  <c r="L2" i="13" s="1"/>
  <c r="E4" i="21"/>
  <c r="N94" i="4"/>
  <c r="K17" i="21" l="1"/>
  <c r="E9" i="21"/>
  <c r="F3" i="21" s="1"/>
  <c r="AS23" i="23"/>
  <c r="AS25" i="23" s="1"/>
  <c r="N103" i="4"/>
  <c r="CB83" i="4"/>
  <c r="N95" i="4"/>
  <c r="AN30" i="23"/>
  <c r="O45" i="3"/>
  <c r="M47" i="3"/>
  <c r="AN47" i="23" s="1"/>
  <c r="M49" i="3"/>
  <c r="BN82" i="4" l="1"/>
  <c r="N97" i="4"/>
  <c r="N98" i="4" s="1"/>
  <c r="K19" i="21"/>
  <c r="L16" i="21"/>
  <c r="O16" i="21"/>
  <c r="M16" i="21" l="1"/>
  <c r="N16" i="21" s="1"/>
  <c r="N12" i="4"/>
  <c r="CB108" i="4"/>
  <c r="O88" i="4"/>
  <c r="N15" i="4" l="1"/>
  <c r="N16" i="4" s="1"/>
  <c r="O92" i="4"/>
  <c r="N27" i="3" l="1"/>
  <c r="N67" i="4"/>
  <c r="N43" i="3" s="1"/>
  <c r="N28" i="3"/>
  <c r="M2" i="13" s="1"/>
  <c r="O94" i="4"/>
  <c r="O95" i="4" s="1"/>
  <c r="BO82" i="4" l="1"/>
  <c r="O97" i="4"/>
  <c r="O98" i="4" s="1"/>
  <c r="AT23" i="23"/>
  <c r="AT25" i="23" s="1"/>
  <c r="O103" i="4"/>
  <c r="CC83" i="4"/>
  <c r="AN31" i="23"/>
  <c r="P45" i="3"/>
  <c r="N49" i="3"/>
  <c r="N47" i="3"/>
  <c r="AN48" i="23" s="1"/>
  <c r="K78" i="3"/>
  <c r="K79" i="3" s="1"/>
  <c r="V75" i="3" s="1"/>
  <c r="W75" i="3" s="1"/>
  <c r="O12" i="4" l="1"/>
  <c r="CC108" i="4"/>
  <c r="P88" i="4"/>
  <c r="O15" i="4" l="1"/>
  <c r="O16" i="4" s="1"/>
  <c r="P92" i="4"/>
  <c r="O27" i="3" l="1"/>
  <c r="O28" i="3"/>
  <c r="N2" i="13" s="1"/>
  <c r="O67" i="4"/>
  <c r="O43" i="3" s="1"/>
  <c r="P94" i="4"/>
  <c r="P103" i="4" l="1"/>
  <c r="CD83" i="4"/>
  <c r="Q94" i="4"/>
  <c r="P95" i="4"/>
  <c r="AN32" i="23"/>
  <c r="Q45" i="3"/>
  <c r="O49" i="3"/>
  <c r="O47" i="3"/>
  <c r="AN49" i="23" s="1"/>
  <c r="X24" i="23"/>
  <c r="X26" i="23" s="1"/>
  <c r="BP82" i="4" l="1"/>
  <c r="P97" i="4"/>
  <c r="Q103" i="4"/>
  <c r="R103" i="4" s="1"/>
  <c r="P98" i="4" l="1"/>
  <c r="Q97" i="4"/>
  <c r="AY84" i="4" l="1"/>
  <c r="P12" i="4"/>
  <c r="CD108" i="4"/>
  <c r="Q98" i="4"/>
  <c r="AY90" i="4" s="1"/>
  <c r="S88" i="4"/>
  <c r="Q95" i="4"/>
  <c r="Q96" i="4" l="1"/>
  <c r="S96" i="4" s="1"/>
  <c r="T96" i="4" s="1"/>
  <c r="U96" i="4" s="1"/>
  <c r="V96" i="4" s="1"/>
  <c r="W96" i="4" s="1"/>
  <c r="X96" i="4" s="1"/>
  <c r="Y96" i="4" s="1"/>
  <c r="Z96" i="4" s="1"/>
  <c r="AA96" i="4" s="1"/>
  <c r="AB96" i="4" s="1"/>
  <c r="AC96" i="4" s="1"/>
  <c r="AD96" i="4" s="1"/>
  <c r="AE96" i="4" s="1"/>
  <c r="AF96" i="4" s="1"/>
  <c r="AG96" i="4" s="1"/>
  <c r="AH96" i="4" s="1"/>
  <c r="AI96" i="4" s="1"/>
  <c r="AJ96" i="4" s="1"/>
  <c r="AK96" i="4" s="1"/>
  <c r="AL96" i="4" s="1"/>
  <c r="S93" i="4"/>
  <c r="AY78" i="4"/>
  <c r="R95" i="4"/>
  <c r="Q12" i="4"/>
  <c r="T78" i="4"/>
  <c r="V78" i="4"/>
  <c r="X78" i="4"/>
  <c r="Z78" i="4"/>
  <c r="AB78" i="4"/>
  <c r="AD78" i="4"/>
  <c r="AF78" i="4"/>
  <c r="AH78" i="4"/>
  <c r="AJ78" i="4"/>
  <c r="AL78" i="4"/>
  <c r="R16" i="21" l="1"/>
  <c r="Q16" i="21"/>
  <c r="P16" i="21"/>
  <c r="AE91" i="4"/>
  <c r="AE82" i="4"/>
  <c r="Y13" i="4"/>
  <c r="Y106" i="4"/>
  <c r="K18" i="17"/>
  <c r="J18" i="17"/>
  <c r="J14" i="22"/>
  <c r="J12" i="22"/>
  <c r="V108" i="4"/>
  <c r="AA114" i="4"/>
  <c r="AA113" i="4"/>
  <c r="AA101" i="4"/>
  <c r="AA102" i="4"/>
  <c r="AA78" i="4"/>
  <c r="S13" i="4"/>
  <c r="S106" i="4"/>
  <c r="W89" i="4"/>
  <c r="W90" i="4"/>
  <c r="W93" i="4"/>
  <c r="BG100" i="4"/>
  <c r="G124" i="4"/>
  <c r="V91" i="4"/>
  <c r="V82" i="4"/>
  <c r="T13" i="4"/>
  <c r="T106" i="4"/>
  <c r="AB91" i="4"/>
  <c r="AB82" i="4"/>
  <c r="BV114" i="4"/>
  <c r="H108" i="4"/>
  <c r="H107" i="4"/>
  <c r="H15" i="22"/>
  <c r="G14" i="22"/>
  <c r="AE103" i="4"/>
  <c r="AE94" i="4"/>
  <c r="Q13" i="4"/>
  <c r="V107" i="4"/>
  <c r="V106" i="4"/>
  <c r="V13" i="4"/>
  <c r="BF100" i="4"/>
  <c r="F124" i="4"/>
  <c r="AY85" i="4"/>
  <c r="Q107" i="4"/>
  <c r="BI28" i="13"/>
  <c r="BI26" i="13"/>
  <c r="AF91" i="4"/>
  <c r="AF82" i="4"/>
  <c r="AF89" i="4"/>
  <c r="V114" i="4"/>
  <c r="V113" i="4"/>
  <c r="V101" i="4"/>
  <c r="V102" i="4"/>
  <c r="AY91" i="4"/>
  <c r="Q108" i="4"/>
  <c r="BG120" i="4"/>
  <c r="T124" i="4"/>
  <c r="T121" i="4"/>
  <c r="AC86" i="4"/>
  <c r="AC85" i="4"/>
  <c r="AD108" i="4"/>
  <c r="X16" i="21"/>
  <c r="W16" i="21"/>
  <c r="V16" i="21"/>
  <c r="U17" i="21"/>
  <c r="AK91" i="4"/>
  <c r="AK82" i="4"/>
  <c r="R67" i="4"/>
  <c r="Q67" i="4"/>
  <c r="AE32" i="23"/>
  <c r="AD91" i="4"/>
  <c r="AD82" i="4"/>
  <c r="AJ91" i="4"/>
  <c r="AJ82" i="4"/>
  <c r="CD114" i="4"/>
  <c r="P108" i="4"/>
  <c r="P107" i="4"/>
  <c r="AX29" i="13"/>
  <c r="AX28" i="13"/>
  <c r="AX27" i="13"/>
  <c r="K19" i="17"/>
  <c r="K17" i="17"/>
  <c r="AE114" i="4"/>
  <c r="AE113" i="4"/>
  <c r="AE101" i="4"/>
  <c r="AE102" i="4"/>
  <c r="AE78" i="4"/>
  <c r="P128" i="4"/>
  <c r="P127" i="4"/>
  <c r="Z121" i="4"/>
  <c r="Z124" i="4"/>
  <c r="BM120" i="4"/>
  <c r="AD107" i="4"/>
  <c r="AD106" i="4"/>
  <c r="AD13" i="4"/>
  <c r="T103" i="4"/>
  <c r="T94" i="4"/>
  <c r="Q15" i="4"/>
  <c r="BE88" i="4"/>
  <c r="E127" i="4"/>
  <c r="K107" i="4"/>
  <c r="K108" i="4"/>
  <c r="BY114" i="4"/>
  <c r="W86" i="4"/>
  <c r="W85" i="4"/>
  <c r="O10" i="17"/>
  <c r="N10" i="17"/>
  <c r="U81" i="4"/>
  <c r="AE86" i="4"/>
  <c r="AE85" i="4"/>
  <c r="D127" i="4"/>
  <c r="U67" i="4"/>
  <c r="U97" i="4"/>
  <c r="U98" i="4"/>
  <c r="U12" i="4"/>
  <c r="U15" i="4"/>
  <c r="U16" i="4"/>
  <c r="U17" i="4"/>
  <c r="AJ114" i="4"/>
  <c r="AJ113" i="4"/>
  <c r="AJ101" i="4"/>
  <c r="AJ102" i="4"/>
  <c r="P27" i="3"/>
  <c r="Q27" i="3"/>
  <c r="AD89" i="4"/>
  <c r="W121" i="4"/>
  <c r="W124" i="4"/>
  <c r="BJ120" i="4"/>
  <c r="AE13" i="4"/>
  <c r="AE106" i="4"/>
  <c r="AJ81" i="4"/>
  <c r="AL67" i="4"/>
  <c r="AL97" i="4"/>
  <c r="AL98" i="4"/>
  <c r="AL12" i="4"/>
  <c r="AL15" i="4"/>
  <c r="AL16" i="4"/>
  <c r="AL17" i="4"/>
  <c r="AG108" i="4"/>
  <c r="AB114" i="4"/>
  <c r="AB113" i="4"/>
  <c r="AB101" i="4"/>
  <c r="AB102" i="4"/>
  <c r="O23" i="17"/>
  <c r="O16" i="17"/>
  <c r="O11" i="17"/>
  <c r="I107" i="4"/>
  <c r="I108" i="4"/>
  <c r="BW114" i="4"/>
  <c r="BJ127" i="4"/>
  <c r="U13" i="4"/>
  <c r="U106" i="4"/>
  <c r="AB17" i="4"/>
  <c r="AB97" i="4"/>
  <c r="AB98" i="4"/>
  <c r="AB12" i="4"/>
  <c r="AB15" i="4"/>
  <c r="AB16" i="4"/>
  <c r="AB67" i="4"/>
  <c r="AC108" i="4"/>
  <c r="K22" i="17"/>
  <c r="J22" i="17"/>
  <c r="BF94" i="4"/>
  <c r="BX114" i="4"/>
  <c r="J108" i="4"/>
  <c r="J107" i="4"/>
  <c r="J17" i="17"/>
  <c r="J19" i="17"/>
  <c r="X67" i="4"/>
  <c r="X97" i="4"/>
  <c r="X98" i="4"/>
  <c r="X12" i="4"/>
  <c r="X15" i="4"/>
  <c r="X16" i="4"/>
  <c r="X17" i="4"/>
  <c r="AE107" i="4"/>
  <c r="AE108" i="4"/>
  <c r="AF124" i="4"/>
  <c r="AF121" i="4"/>
  <c r="AF13" i="4"/>
  <c r="AF106" i="4"/>
  <c r="BK134" i="4"/>
  <c r="AD124" i="4"/>
  <c r="AD121" i="4"/>
  <c r="O19" i="17"/>
  <c r="O17" i="17"/>
  <c r="BG134" i="4"/>
  <c r="AN50" i="23"/>
  <c r="P47" i="3"/>
  <c r="L23" i="17"/>
  <c r="W81" i="4"/>
  <c r="BM134" i="4"/>
  <c r="AJ17" i="4"/>
  <c r="AJ97" i="4"/>
  <c r="AJ98" i="4"/>
  <c r="AJ12" i="4"/>
  <c r="AJ15" i="4"/>
  <c r="AJ16" i="4"/>
  <c r="AJ67" i="4"/>
  <c r="AC17" i="4"/>
  <c r="AC97" i="4"/>
  <c r="AC98" i="4"/>
  <c r="AC12" i="4"/>
  <c r="AC15" i="4"/>
  <c r="AC16" i="4"/>
  <c r="AC67" i="4"/>
  <c r="AI86" i="4"/>
  <c r="AI85" i="4"/>
  <c r="AJ93" i="4"/>
  <c r="AJ90" i="4"/>
  <c r="AJ89" i="4"/>
  <c r="BG127" i="4"/>
  <c r="AH67" i="4"/>
  <c r="AH97" i="4"/>
  <c r="AH98" i="4"/>
  <c r="AH12" i="4"/>
  <c r="AH15" i="4"/>
  <c r="AH16" i="4"/>
  <c r="AH17" i="4"/>
  <c r="AH91" i="4"/>
  <c r="AH82" i="4"/>
  <c r="L107" i="4"/>
  <c r="L108" i="4"/>
  <c r="BZ114" i="4"/>
  <c r="BT114" i="4"/>
  <c r="F108" i="4"/>
  <c r="F107" i="4"/>
  <c r="F121" i="4"/>
  <c r="BT127" i="4"/>
  <c r="Q106" i="4"/>
  <c r="Q105" i="4"/>
  <c r="S105" i="4"/>
  <c r="T105" i="4"/>
  <c r="U105" i="4"/>
  <c r="V105" i="4"/>
  <c r="W105" i="4"/>
  <c r="X105" i="4"/>
  <c r="Y105" i="4"/>
  <c r="Z105" i="4"/>
  <c r="AA105" i="4"/>
  <c r="AB105" i="4"/>
  <c r="AC105" i="4"/>
  <c r="AD105" i="4"/>
  <c r="AE105" i="4"/>
  <c r="AF105" i="4"/>
  <c r="AG105" i="4"/>
  <c r="AH105" i="4"/>
  <c r="AI105" i="4"/>
  <c r="AJ105" i="4"/>
  <c r="AK105" i="4"/>
  <c r="AL105" i="4"/>
  <c r="V28" i="13"/>
  <c r="V26" i="13"/>
  <c r="U85" i="4"/>
  <c r="U86" i="4"/>
  <c r="BJ28" i="13"/>
  <c r="BJ27" i="13"/>
  <c r="BJ30" i="13"/>
  <c r="U43" i="3"/>
  <c r="AN33" i="23"/>
  <c r="P49" i="3"/>
  <c r="R43" i="3"/>
  <c r="S43" i="3"/>
  <c r="S86" i="4"/>
  <c r="S85" i="4"/>
  <c r="AA82" i="4"/>
  <c r="AA91" i="4"/>
  <c r="Y26" i="23"/>
  <c r="Y24" i="23"/>
  <c r="BI100" i="4"/>
  <c r="I124" i="4"/>
  <c r="BO120" i="4"/>
  <c r="AB124" i="4"/>
  <c r="AB121" i="4"/>
  <c r="BG94" i="4"/>
  <c r="N127" i="4"/>
  <c r="BN88" i="4"/>
  <c r="AG93" i="4"/>
  <c r="AG90" i="4"/>
  <c r="AG89" i="4"/>
  <c r="T82" i="4"/>
  <c r="T91" i="4"/>
  <c r="X121" i="4"/>
  <c r="X124" i="4"/>
  <c r="BK120" i="4"/>
  <c r="AC93" i="4"/>
  <c r="AC90" i="4"/>
  <c r="AC89" i="4"/>
  <c r="S94" i="4"/>
  <c r="S103" i="4"/>
  <c r="AK77" i="4"/>
  <c r="AK78" i="4"/>
  <c r="AK102" i="4"/>
  <c r="AK101" i="4"/>
  <c r="AK113" i="4"/>
  <c r="AK114" i="4"/>
  <c r="J29" i="13"/>
  <c r="J26" i="13"/>
  <c r="S121" i="4"/>
  <c r="S124" i="4"/>
  <c r="BF120" i="4"/>
  <c r="AG107" i="4"/>
  <c r="AG106" i="4"/>
  <c r="AG13" i="4"/>
  <c r="BM100" i="4"/>
  <c r="M124" i="4"/>
  <c r="AI93" i="4"/>
  <c r="AI90" i="4"/>
  <c r="AI89" i="4"/>
  <c r="G107" i="4"/>
  <c r="G108" i="4"/>
  <c r="BU114" i="4"/>
  <c r="AJ124" i="4"/>
  <c r="AJ121" i="4"/>
  <c r="K15" i="17"/>
  <c r="J15" i="17"/>
  <c r="BH26" i="13"/>
  <c r="BH28" i="13"/>
  <c r="BJ31" i="13"/>
  <c r="Z94" i="4"/>
  <c r="Z103" i="4"/>
  <c r="AF93" i="4"/>
  <c r="AF90" i="4"/>
  <c r="AF102" i="4"/>
  <c r="AF101" i="4"/>
  <c r="AF113" i="4"/>
  <c r="AF114" i="4"/>
  <c r="AD93" i="4"/>
  <c r="AD90" i="4"/>
  <c r="AD102" i="4"/>
  <c r="AD101" i="4"/>
  <c r="AD113" i="4"/>
  <c r="AD114" i="4"/>
  <c r="BO127" i="4"/>
  <c r="Y78" i="4"/>
  <c r="Y102" i="4"/>
  <c r="Y101" i="4"/>
  <c r="Y113" i="4"/>
  <c r="Y114" i="4"/>
  <c r="V93" i="4"/>
  <c r="V90" i="4"/>
  <c r="V89" i="4"/>
  <c r="BP100" i="4"/>
  <c r="P124" i="4"/>
  <c r="W78" i="4"/>
  <c r="W102" i="4"/>
  <c r="W101" i="4"/>
  <c r="W113" i="4"/>
  <c r="W114" i="4"/>
  <c r="Z13" i="4"/>
  <c r="Z106" i="4"/>
  <c r="AB86" i="4"/>
  <c r="AB85" i="4"/>
  <c r="V43" i="3"/>
  <c r="Q47" i="3"/>
  <c r="Q49" i="3"/>
  <c r="B59" i="23"/>
  <c r="G4" i="18"/>
  <c r="F4" i="18"/>
  <c r="C3" i="18"/>
  <c r="O5" i="23"/>
  <c r="AA121" i="4"/>
  <c r="AA124" i="4"/>
  <c r="BN120" i="4"/>
  <c r="X94" i="4"/>
  <c r="X103" i="4"/>
  <c r="X86" i="4"/>
  <c r="X85" i="4"/>
  <c r="G121" i="4"/>
  <c r="BU127" i="4"/>
  <c r="X89" i="4"/>
  <c r="BK94" i="4"/>
  <c r="T107" i="4"/>
  <c r="T108" i="4"/>
  <c r="BL100" i="4"/>
  <c r="L124" i="4"/>
  <c r="AA94" i="4"/>
  <c r="AA103" i="4"/>
  <c r="BE94" i="4"/>
  <c r="T43" i="3"/>
  <c r="C4" i="18"/>
  <c r="BO134" i="4"/>
  <c r="C15" i="18"/>
  <c r="D15" i="18"/>
  <c r="AF33" i="23"/>
  <c r="AD81" i="4"/>
  <c r="BE127" i="4"/>
  <c r="AH13" i="4"/>
  <c r="AH106" i="4"/>
  <c r="U89" i="4"/>
  <c r="U90" i="4"/>
  <c r="U93" i="4"/>
  <c r="AD85" i="4"/>
  <c r="AD86" i="4"/>
  <c r="Y81" i="4"/>
  <c r="AL95" i="4"/>
  <c r="T33" i="23"/>
  <c r="AI114" i="4"/>
  <c r="AI113" i="4"/>
  <c r="AI101" i="4"/>
  <c r="AI102" i="4"/>
  <c r="AI77" i="4"/>
  <c r="AI78" i="4"/>
  <c r="AC114" i="4"/>
  <c r="AC113" i="4"/>
  <c r="AC101" i="4"/>
  <c r="AC102" i="4"/>
  <c r="AC78" i="4"/>
  <c r="U114" i="4"/>
  <c r="U113" i="4"/>
  <c r="U101" i="4"/>
  <c r="U102" i="4"/>
  <c r="U78" i="4"/>
  <c r="BH100" i="4"/>
  <c r="H124" i="4"/>
  <c r="E108" i="4"/>
  <c r="BS114" i="4"/>
  <c r="W94" i="4"/>
  <c r="W103" i="4"/>
  <c r="AK93" i="4"/>
  <c r="AK90" i="4"/>
  <c r="AK89" i="4"/>
  <c r="Y85" i="4"/>
  <c r="Y86" i="4"/>
  <c r="AL92" i="4"/>
  <c r="AL94" i="4"/>
  <c r="AL103" i="4"/>
  <c r="AZ28" i="13"/>
  <c r="AZ29" i="13"/>
  <c r="C11" i="18"/>
  <c r="D11" i="18"/>
  <c r="V34" i="23"/>
  <c r="V94" i="4"/>
  <c r="V103" i="4"/>
  <c r="AF94" i="4"/>
  <c r="AF103" i="4"/>
  <c r="AL13" i="4"/>
  <c r="AL106" i="4"/>
  <c r="T32" i="23"/>
  <c r="C10" i="18"/>
  <c r="AH86" i="4"/>
  <c r="AH85" i="4"/>
  <c r="S89" i="4"/>
  <c r="AD17" i="4"/>
  <c r="AD97" i="4"/>
  <c r="AD98" i="4"/>
  <c r="AD12" i="4"/>
  <c r="AD15" i="4"/>
  <c r="AD16" i="4"/>
  <c r="AD67" i="4"/>
  <c r="BP127" i="4"/>
  <c r="BN127" i="4"/>
  <c r="Z67" i="4"/>
  <c r="Z97" i="4"/>
  <c r="Z98" i="4"/>
  <c r="Z12" i="4"/>
  <c r="Z15" i="4"/>
  <c r="Z16" i="4"/>
  <c r="Z17" i="4"/>
  <c r="BF127" i="4"/>
  <c r="BO94" i="4"/>
  <c r="Y67" i="4"/>
  <c r="Y97" i="4"/>
  <c r="Y98" i="4"/>
  <c r="Y12" i="4"/>
  <c r="Y15" i="4"/>
  <c r="Y16" i="4"/>
  <c r="Y17" i="4"/>
  <c r="U107" i="4"/>
  <c r="U108" i="4"/>
  <c r="T86" i="4"/>
  <c r="T85" i="4"/>
  <c r="AH107" i="4"/>
  <c r="AH108" i="4"/>
  <c r="AL114" i="4"/>
  <c r="AL113" i="4"/>
  <c r="AL101" i="4"/>
  <c r="AL102" i="4"/>
  <c r="Y89" i="4"/>
  <c r="Y90" i="4"/>
  <c r="Y93" i="4"/>
  <c r="BF134" i="4"/>
  <c r="AB93" i="4"/>
  <c r="AB90" i="4"/>
  <c r="AB89" i="4"/>
  <c r="AC107" i="4"/>
  <c r="AC106" i="4"/>
  <c r="AC13" i="4"/>
  <c r="O2" i="13"/>
  <c r="P28" i="3"/>
  <c r="Q28" i="3"/>
  <c r="AB103" i="4"/>
  <c r="AB94" i="4"/>
  <c r="BL94" i="4"/>
  <c r="H121" i="4"/>
  <c r="BV127" i="4"/>
  <c r="AE89" i="4"/>
  <c r="AE90" i="4"/>
  <c r="AE93" i="4"/>
  <c r="Z82" i="4"/>
  <c r="Z91" i="4"/>
  <c r="AZ27" i="13"/>
  <c r="BA27" i="13"/>
  <c r="AJ13" i="4"/>
  <c r="AJ106" i="4"/>
  <c r="AH114" i="4"/>
  <c r="AH113" i="4"/>
  <c r="AH101" i="4"/>
  <c r="AH102" i="4"/>
  <c r="H27" i="13"/>
  <c r="C14" i="18"/>
  <c r="AE35" i="23"/>
  <c r="AL86" i="4"/>
  <c r="AL85" i="4"/>
  <c r="Q116" i="4"/>
  <c r="Q121" i="4"/>
  <c r="Q124" i="4"/>
  <c r="BE120" i="4"/>
  <c r="AY79" i="4"/>
  <c r="R104" i="4"/>
  <c r="BE134" i="4"/>
  <c r="T67" i="4"/>
  <c r="T97" i="4"/>
  <c r="T98" i="4"/>
  <c r="T12" i="4"/>
  <c r="T15" i="4"/>
  <c r="T16" i="4"/>
  <c r="T17" i="4"/>
  <c r="I7" i="17"/>
  <c r="L7" i="17"/>
  <c r="BM94" i="4"/>
  <c r="AA89" i="4"/>
  <c r="AA90" i="4"/>
  <c r="AA93" i="4"/>
  <c r="S102" i="4"/>
  <c r="S101" i="4"/>
  <c r="S113" i="4"/>
  <c r="S114" i="4"/>
  <c r="Z107" i="4"/>
  <c r="Z108" i="4"/>
  <c r="O24" i="17"/>
  <c r="O14" i="17"/>
  <c r="O12" i="17"/>
  <c r="O22" i="17"/>
  <c r="O15" i="17"/>
  <c r="O20" i="17"/>
  <c r="O18" i="17"/>
  <c r="N26" i="17"/>
  <c r="O13" i="17"/>
  <c r="N23" i="17"/>
  <c r="N25" i="17"/>
  <c r="J11" i="23"/>
  <c r="M107" i="4"/>
  <c r="M108" i="4"/>
  <c r="CA114" i="4"/>
  <c r="AA67" i="4"/>
  <c r="AA97" i="4"/>
  <c r="AA98" i="4"/>
  <c r="AA12" i="4"/>
  <c r="AA15" i="4"/>
  <c r="AA16" i="4"/>
  <c r="AA17" i="4"/>
  <c r="AJ85" i="4"/>
  <c r="AJ86" i="4"/>
  <c r="AI121" i="4"/>
  <c r="AI124" i="4"/>
  <c r="BL134" i="4"/>
  <c r="U28" i="13"/>
  <c r="U27" i="13"/>
  <c r="V27" i="13"/>
  <c r="BL127" i="4"/>
  <c r="Q112" i="4"/>
  <c r="D121" i="4"/>
  <c r="J10" i="17"/>
  <c r="K10" i="17"/>
  <c r="L10" i="17"/>
  <c r="L21" i="17"/>
  <c r="N21" i="17"/>
  <c r="O21" i="17"/>
  <c r="F9" i="21"/>
  <c r="AB81" i="4"/>
  <c r="AJ103" i="4"/>
  <c r="AJ94" i="4"/>
  <c r="X93" i="4"/>
  <c r="X90" i="4"/>
  <c r="X102" i="4"/>
  <c r="X101" i="4"/>
  <c r="X113" i="4"/>
  <c r="X114" i="4"/>
  <c r="Y121" i="4"/>
  <c r="Y124" i="4"/>
  <c r="BL120" i="4"/>
  <c r="AW32" i="13"/>
  <c r="AW31" i="13"/>
  <c r="BJ88" i="4"/>
  <c r="J127" i="4"/>
  <c r="AL83" i="4"/>
  <c r="L121" i="4"/>
  <c r="BZ127" i="4"/>
  <c r="K20" i="17"/>
  <c r="J20" i="17"/>
  <c r="BX127" i="4"/>
  <c r="AJ107" i="4"/>
  <c r="AJ108" i="4"/>
  <c r="T81" i="4"/>
  <c r="AE17" i="4"/>
  <c r="AE97" i="4"/>
  <c r="AE98" i="4"/>
  <c r="AE12" i="4"/>
  <c r="AE15" i="4"/>
  <c r="AE16" i="4"/>
  <c r="AE67" i="4"/>
  <c r="Z89" i="4"/>
  <c r="BI127" i="4"/>
  <c r="I121" i="4"/>
  <c r="BW127" i="4"/>
  <c r="Q100" i="4"/>
  <c r="Q104" i="4"/>
  <c r="Q127" i="4"/>
  <c r="Q128" i="4"/>
  <c r="AA81" i="4"/>
  <c r="BP88" i="4"/>
  <c r="BN100" i="4"/>
  <c r="N124" i="4"/>
  <c r="T68" i="23"/>
  <c r="T72" i="23"/>
  <c r="J17" i="23"/>
  <c r="T70" i="23"/>
  <c r="AC94" i="4"/>
  <c r="AC103" i="4"/>
  <c r="N121" i="4"/>
  <c r="CB127" i="4"/>
  <c r="AG27" i="13"/>
  <c r="AG29" i="13"/>
  <c r="BJ94" i="4"/>
  <c r="S17" i="4"/>
  <c r="S97" i="4"/>
  <c r="S98" i="4"/>
  <c r="S12" i="4"/>
  <c r="S15" i="4"/>
  <c r="S16" i="4"/>
  <c r="S67" i="4"/>
  <c r="V86" i="4"/>
  <c r="V85" i="4"/>
  <c r="AH124" i="4"/>
  <c r="AH121" i="4"/>
  <c r="AL81" i="4"/>
  <c r="BH134" i="4"/>
  <c r="AK81" i="4"/>
  <c r="K127" i="4"/>
  <c r="BK88" i="4"/>
  <c r="AH103" i="4"/>
  <c r="AH94" i="4"/>
  <c r="AK80" i="4"/>
  <c r="AK83" i="4"/>
  <c r="AL76" i="4"/>
  <c r="AL80" i="4"/>
  <c r="AL82" i="4"/>
  <c r="AL91" i="4"/>
  <c r="AB13" i="4"/>
  <c r="AB106" i="4"/>
  <c r="X91" i="4"/>
  <c r="X82" i="4"/>
  <c r="K21" i="17"/>
  <c r="J21" i="17"/>
  <c r="W13" i="4"/>
  <c r="W106" i="4"/>
  <c r="J121" i="4"/>
  <c r="J124" i="4"/>
  <c r="BJ100" i="4"/>
  <c r="I127" i="4"/>
  <c r="BI88" i="4"/>
  <c r="AK17" i="4"/>
  <c r="AK97" i="4"/>
  <c r="AK98" i="4"/>
  <c r="AK12" i="4"/>
  <c r="AK15" i="4"/>
  <c r="AK16" i="4"/>
  <c r="AK67" i="4"/>
  <c r="W82" i="4"/>
  <c r="W91" i="4"/>
  <c r="Z93" i="4"/>
  <c r="Z90" i="4"/>
  <c r="Z102" i="4"/>
  <c r="Z101" i="4"/>
  <c r="Z113" i="4"/>
  <c r="Z114" i="4"/>
  <c r="BI94" i="4"/>
  <c r="AG91" i="4"/>
  <c r="AG82" i="4"/>
  <c r="AA85" i="4"/>
  <c r="AA86" i="4"/>
  <c r="T114" i="4"/>
  <c r="T113" i="4"/>
  <c r="T101" i="4"/>
  <c r="T102" i="4"/>
  <c r="BS127" i="4"/>
  <c r="J10" i="23"/>
  <c r="T66" i="23"/>
  <c r="T61" i="23"/>
  <c r="BI134" i="4"/>
  <c r="AI108" i="4"/>
  <c r="M23" i="17"/>
  <c r="M21" i="17"/>
  <c r="G12" i="22"/>
  <c r="H12" i="22"/>
  <c r="H14" i="22"/>
  <c r="BN94" i="4"/>
  <c r="G127" i="4"/>
  <c r="BG88" i="4"/>
  <c r="BP94" i="4"/>
  <c r="AI67" i="4"/>
  <c r="AI97" i="4"/>
  <c r="AI98" i="4"/>
  <c r="AI12" i="4"/>
  <c r="AI15" i="4"/>
  <c r="AI16" i="4"/>
  <c r="AI17" i="4"/>
  <c r="U94" i="4"/>
  <c r="U103" i="4"/>
  <c r="V81" i="4"/>
  <c r="AK95" i="4"/>
  <c r="AL88" i="4"/>
  <c r="AL93" i="4"/>
  <c r="AL90" i="4"/>
  <c r="AL89" i="4"/>
  <c r="CC114" i="4"/>
  <c r="O107" i="4"/>
  <c r="O108" i="4"/>
  <c r="V17" i="4"/>
  <c r="V97" i="4"/>
  <c r="V98" i="4"/>
  <c r="V12" i="4"/>
  <c r="V15" i="4"/>
  <c r="V16" i="4"/>
  <c r="V67" i="4"/>
  <c r="AC124" i="4"/>
  <c r="AC121" i="4"/>
  <c r="AG17" i="4"/>
  <c r="AG97" i="4"/>
  <c r="AG98" i="4"/>
  <c r="AG12" i="4"/>
  <c r="AG15" i="4"/>
  <c r="AG16" i="4"/>
  <c r="AG67" i="4"/>
  <c r="BK100" i="4"/>
  <c r="K124" i="4"/>
  <c r="AI83" i="4"/>
  <c r="AJ76" i="4"/>
  <c r="AJ80" i="4"/>
  <c r="AJ83" i="4"/>
  <c r="AK76" i="4"/>
  <c r="AK85" i="4"/>
  <c r="AK86" i="4"/>
  <c r="AG94" i="4"/>
  <c r="AG103" i="4"/>
  <c r="L127" i="4"/>
  <c r="BL88" i="4"/>
  <c r="AA108" i="4"/>
  <c r="Z86" i="4"/>
  <c r="Z85" i="4"/>
  <c r="W107" i="4"/>
  <c r="W108" i="4"/>
  <c r="BJ134" i="4"/>
  <c r="AI81" i="4"/>
  <c r="AH93" i="4"/>
  <c r="AH90" i="4"/>
  <c r="AH89" i="4"/>
  <c r="K12" i="17"/>
  <c r="J12" i="17"/>
  <c r="AI91" i="4"/>
  <c r="AH80" i="4"/>
  <c r="AH83" i="4"/>
  <c r="AI76" i="4"/>
  <c r="AI80" i="4"/>
  <c r="AI82" i="4"/>
  <c r="U77" i="4"/>
  <c r="W77" i="4"/>
  <c r="Y77" i="4"/>
  <c r="AA77" i="4"/>
  <c r="AC77" i="4"/>
  <c r="AE77" i="4"/>
  <c r="AG77" i="4"/>
  <c r="AG78" i="4"/>
  <c r="AG102" i="4"/>
  <c r="AG101" i="4"/>
  <c r="AG113" i="4"/>
  <c r="AG114" i="4"/>
  <c r="AF67" i="4"/>
  <c r="AF97" i="4"/>
  <c r="AF98" i="4"/>
  <c r="AF12" i="4"/>
  <c r="AF15" i="4"/>
  <c r="AF16" i="4"/>
  <c r="AF17" i="4"/>
  <c r="AF81" i="4"/>
  <c r="AI103" i="4"/>
  <c r="AI94" i="4"/>
  <c r="V121" i="4"/>
  <c r="V124" i="4"/>
  <c r="BI120" i="4"/>
  <c r="J16" i="17"/>
  <c r="BK127" i="4"/>
  <c r="E121" i="4"/>
  <c r="E124" i="4"/>
  <c r="BE100" i="4"/>
  <c r="AD94" i="4"/>
  <c r="AD103" i="4"/>
  <c r="AK108" i="4"/>
  <c r="AG81" i="4"/>
  <c r="AL107" i="4"/>
  <c r="AL108" i="4"/>
  <c r="AK121" i="4"/>
  <c r="AK124" i="4"/>
  <c r="BH127" i="4"/>
  <c r="X108" i="4"/>
  <c r="AH112" i="4"/>
  <c r="AH116" i="4"/>
  <c r="AI112" i="4"/>
  <c r="AI116" i="4"/>
  <c r="AJ112" i="4"/>
  <c r="AJ116" i="4"/>
  <c r="AK112" i="4"/>
  <c r="AK116" i="4"/>
  <c r="AL112" i="4"/>
  <c r="AL116" i="4"/>
  <c r="AL121" i="4"/>
  <c r="AL124" i="4"/>
  <c r="AI107" i="4"/>
  <c r="AI106" i="4"/>
  <c r="AI13" i="4"/>
  <c r="AS27" i="13"/>
  <c r="AN56" i="23"/>
  <c r="D50" i="20"/>
  <c r="J27" i="13"/>
  <c r="BH88" i="4"/>
  <c r="H127" i="4"/>
  <c r="AC82" i="4"/>
  <c r="AC91" i="4"/>
  <c r="AC81" i="4"/>
  <c r="S107" i="4"/>
  <c r="S108" i="4"/>
  <c r="P121" i="4"/>
  <c r="CD127" i="4"/>
  <c r="BH27" i="13"/>
  <c r="X81" i="4"/>
  <c r="K121" i="4"/>
  <c r="BY127" i="4"/>
  <c r="AF107" i="4"/>
  <c r="AF108" i="4"/>
  <c r="Y94" i="4"/>
  <c r="Y103" i="4"/>
  <c r="AR26" i="13"/>
  <c r="AR28" i="13"/>
  <c r="BM88" i="4"/>
  <c r="M127" i="4"/>
  <c r="AF112" i="4"/>
  <c r="AF116" i="4"/>
  <c r="AG112" i="4"/>
  <c r="AG116" i="4"/>
  <c r="AG121" i="4"/>
  <c r="AG124" i="4"/>
  <c r="BP120" i="4"/>
  <c r="BH94" i="4"/>
  <c r="Q89" i="4"/>
  <c r="AB107" i="4"/>
  <c r="AB108" i="4"/>
  <c r="AA107" i="4"/>
  <c r="AA106" i="4"/>
  <c r="AA13" i="4"/>
  <c r="Z81" i="4"/>
  <c r="Y82" i="4"/>
  <c r="Y91" i="4"/>
  <c r="W67" i="4"/>
  <c r="W97" i="4"/>
  <c r="W98" i="4"/>
  <c r="W12" i="4"/>
  <c r="W15" i="4"/>
  <c r="W16" i="4"/>
  <c r="W17" i="4"/>
  <c r="AH76" i="4"/>
  <c r="AH81" i="4"/>
  <c r="N107" i="4"/>
  <c r="N108" i="4"/>
  <c r="CB114" i="4"/>
  <c r="BN134" i="4"/>
  <c r="M121" i="4"/>
  <c r="CA127" i="4"/>
  <c r="AQ28" i="13"/>
  <c r="AF85" i="4"/>
  <c r="AF86" i="4"/>
  <c r="J11" i="17"/>
  <c r="K11" i="17"/>
  <c r="K16" i="17"/>
  <c r="CC127" i="4"/>
  <c r="F4" i="21"/>
  <c r="O17" i="21"/>
  <c r="O19" i="21"/>
  <c r="U19" i="21"/>
  <c r="AK107" i="4"/>
  <c r="AK106" i="4"/>
  <c r="AK13" i="4"/>
  <c r="AG85" i="4"/>
  <c r="AG86" i="4"/>
  <c r="Y104" i="4"/>
  <c r="Z100" i="4"/>
  <c r="Z104" i="4"/>
  <c r="AA100" i="4"/>
  <c r="AA104" i="4"/>
  <c r="AB100" i="4"/>
  <c r="AB104" i="4"/>
  <c r="AC100" i="4"/>
  <c r="AC104" i="4"/>
  <c r="AD100" i="4"/>
  <c r="AD104" i="4"/>
  <c r="AE100" i="4"/>
  <c r="AE104" i="4"/>
  <c r="AF100" i="4"/>
  <c r="AF104" i="4"/>
  <c r="AG100" i="4"/>
  <c r="AG104" i="4"/>
  <c r="AH100" i="4"/>
  <c r="AH104" i="4"/>
  <c r="AI100" i="4"/>
  <c r="AI104" i="4"/>
  <c r="AJ100" i="4"/>
  <c r="AJ104" i="4"/>
  <c r="AK100" i="4"/>
  <c r="AK104" i="4"/>
  <c r="AL100" i="4"/>
  <c r="AL104" i="4"/>
  <c r="AE80" i="4"/>
  <c r="AE83" i="4"/>
  <c r="AF76" i="4"/>
  <c r="AF80" i="4"/>
  <c r="AF83" i="4"/>
  <c r="AG76" i="4"/>
  <c r="AG80" i="4"/>
  <c r="AG83" i="4"/>
  <c r="BP134" i="4"/>
  <c r="X107" i="4"/>
  <c r="X106" i="4"/>
  <c r="X13" i="4"/>
  <c r="K13" i="17"/>
  <c r="J13" i="17"/>
  <c r="AQ26" i="13"/>
  <c r="AZ31" i="13"/>
  <c r="AZ32" i="13"/>
  <c r="T92" i="4"/>
  <c r="T95" i="4"/>
  <c r="U88" i="4"/>
  <c r="U92" i="4"/>
  <c r="U95" i="4"/>
  <c r="V88" i="4"/>
  <c r="V92" i="4"/>
  <c r="V95" i="4"/>
  <c r="W88" i="4"/>
  <c r="W92" i="4"/>
  <c r="W95" i="4"/>
  <c r="X88" i="4"/>
  <c r="X92" i="4"/>
  <c r="X95" i="4"/>
  <c r="Y88" i="4"/>
  <c r="Y92" i="4"/>
  <c r="Y95" i="4"/>
  <c r="Z88" i="4"/>
  <c r="Z92" i="4"/>
  <c r="Z95" i="4"/>
  <c r="AA88" i="4"/>
  <c r="AA92" i="4"/>
  <c r="AA95" i="4"/>
  <c r="AB88" i="4"/>
  <c r="AB92" i="4"/>
  <c r="AB95" i="4"/>
  <c r="AC88" i="4"/>
  <c r="AC92" i="4"/>
  <c r="AC95" i="4"/>
  <c r="AD88" i="4"/>
  <c r="AD92" i="4"/>
  <c r="AD95" i="4"/>
  <c r="AE88" i="4"/>
  <c r="AE92" i="4"/>
  <c r="AE95" i="4"/>
  <c r="AF88" i="4"/>
  <c r="AF92" i="4"/>
  <c r="AF95" i="4"/>
  <c r="AG88" i="4"/>
  <c r="AG92" i="4"/>
  <c r="AG95" i="4"/>
  <c r="AH88" i="4"/>
  <c r="AH92" i="4"/>
  <c r="AH95" i="4"/>
  <c r="AI88" i="4"/>
  <c r="AI92" i="4"/>
  <c r="AI95" i="4"/>
  <c r="AJ88" i="4"/>
  <c r="AJ92" i="4"/>
  <c r="AJ95" i="4"/>
  <c r="AK88" i="4"/>
  <c r="AK92" i="4"/>
  <c r="AK94" i="4"/>
  <c r="AK103" i="4"/>
  <c r="P100" i="4"/>
  <c r="P104" i="4"/>
  <c r="S100" i="4"/>
  <c r="S104" i="4"/>
  <c r="T100" i="4"/>
  <c r="T104" i="4"/>
  <c r="U100" i="4"/>
  <c r="U104" i="4"/>
  <c r="V100" i="4"/>
  <c r="V104" i="4"/>
  <c r="W100" i="4"/>
  <c r="W104" i="4"/>
  <c r="X100" i="4"/>
  <c r="X104" i="4"/>
  <c r="Y100" i="4"/>
  <c r="Y107" i="4"/>
  <c r="Y108" i="4"/>
  <c r="O127" i="4"/>
  <c r="G100" i="4"/>
  <c r="G104" i="4"/>
  <c r="H100" i="4"/>
  <c r="H104" i="4"/>
  <c r="I100" i="4"/>
  <c r="I104" i="4"/>
  <c r="J100" i="4"/>
  <c r="J104" i="4"/>
  <c r="K100" i="4"/>
  <c r="K104" i="4"/>
  <c r="L100" i="4"/>
  <c r="L104" i="4"/>
  <c r="M100" i="4"/>
  <c r="M104" i="4"/>
  <c r="N100" i="4"/>
  <c r="N104" i="4"/>
  <c r="O100" i="4"/>
  <c r="O104" i="4"/>
  <c r="BO88" i="4"/>
  <c r="F127" i="4"/>
  <c r="E104" i="4"/>
  <c r="F100" i="4"/>
  <c r="F104" i="4"/>
  <c r="BF88" i="4"/>
  <c r="O121" i="4"/>
  <c r="O124" i="4"/>
  <c r="BO100" i="4"/>
  <c r="U83" i="4"/>
  <c r="V76" i="4"/>
  <c r="V80" i="4"/>
  <c r="V83" i="4"/>
  <c r="W76" i="4"/>
  <c r="W80" i="4"/>
  <c r="W83" i="4"/>
  <c r="X76" i="4"/>
  <c r="X80" i="4"/>
  <c r="X83" i="4"/>
  <c r="Y76" i="4"/>
  <c r="Y80" i="4"/>
  <c r="Y83" i="4"/>
  <c r="Z76" i="4"/>
  <c r="Z80" i="4"/>
  <c r="Z83" i="4"/>
  <c r="AA76" i="4"/>
  <c r="AA80" i="4"/>
  <c r="AA83" i="4"/>
  <c r="AB76" i="4"/>
  <c r="AB80" i="4"/>
  <c r="AB83" i="4"/>
  <c r="AC76" i="4"/>
  <c r="AC80" i="4"/>
  <c r="AC83" i="4"/>
  <c r="AD76" i="4"/>
  <c r="AD80" i="4"/>
  <c r="AD83" i="4"/>
  <c r="AE76" i="4"/>
  <c r="AE81" i="4"/>
  <c r="S82" i="4"/>
  <c r="S91" i="4"/>
  <c r="S90" i="4"/>
  <c r="S92" i="4"/>
  <c r="S95" i="4"/>
  <c r="T88" i="4"/>
  <c r="T93" i="4"/>
  <c r="T90" i="4"/>
  <c r="T89" i="4"/>
  <c r="Q16" i="4"/>
  <c r="Q77" i="4"/>
  <c r="S77" i="4"/>
  <c r="S78" i="4"/>
  <c r="S80" i="4"/>
  <c r="S83" i="4"/>
  <c r="T76" i="4"/>
  <c r="T80" i="4"/>
  <c r="T83" i="4"/>
  <c r="U76" i="4"/>
  <c r="U80" i="4"/>
  <c r="U82" i="4"/>
  <c r="U91" i="4"/>
  <c r="AG44" i="23"/>
  <c r="AE44" i="23"/>
  <c r="AA112" i="4"/>
  <c r="AA116" i="4"/>
  <c r="AB112" i="4"/>
  <c r="AB116" i="4"/>
  <c r="AC112" i="4"/>
  <c r="AC116" i="4"/>
  <c r="AD112" i="4"/>
  <c r="AD116" i="4"/>
  <c r="AE112" i="4"/>
  <c r="AE116" i="4"/>
  <c r="AE121" i="4"/>
  <c r="AE124" i="4"/>
  <c r="AE27" i="13"/>
  <c r="AH27" i="13"/>
  <c r="AN55" i="23"/>
  <c r="D48" i="20"/>
  <c r="AE26" i="13"/>
  <c r="H26" i="13"/>
  <c r="AS26" i="13"/>
  <c r="U121" i="4"/>
  <c r="U124" i="4"/>
  <c r="BH120" i="4"/>
  <c r="D116" i="4"/>
  <c r="E112" i="4"/>
  <c r="E116" i="4"/>
  <c r="F112" i="4"/>
  <c r="F116" i="4"/>
  <c r="G112" i="4"/>
  <c r="G116" i="4"/>
  <c r="H112" i="4"/>
  <c r="H116" i="4"/>
  <c r="I112" i="4"/>
  <c r="I116" i="4"/>
  <c r="J112" i="4"/>
  <c r="J116" i="4"/>
  <c r="K112" i="4"/>
  <c r="K116" i="4"/>
  <c r="L112" i="4"/>
  <c r="L116" i="4"/>
  <c r="M112" i="4"/>
  <c r="M116" i="4"/>
  <c r="N112" i="4"/>
  <c r="N116" i="4"/>
  <c r="O112" i="4"/>
  <c r="O116" i="4"/>
  <c r="P112" i="4"/>
  <c r="P116" i="4"/>
  <c r="S112" i="4"/>
  <c r="S116" i="4"/>
  <c r="T112" i="4"/>
  <c r="T116" i="4"/>
  <c r="U112" i="4"/>
  <c r="U116" i="4"/>
  <c r="V112" i="4"/>
  <c r="V116" i="4"/>
  <c r="W112" i="4"/>
  <c r="W116" i="4"/>
  <c r="X112" i="4"/>
  <c r="X116" i="4"/>
  <c r="Y112" i="4"/>
  <c r="Y116" i="4"/>
  <c r="Z112" i="4"/>
  <c r="Z116" i="4"/>
  <c r="BM127" i="4"/>
  <c r="D104" i="4"/>
  <c r="E100" i="4"/>
  <c r="E107" i="4"/>
  <c r="P106" i="4"/>
  <c r="P13" i="4"/>
  <c r="P15" i="4"/>
  <c r="P16" i="4"/>
  <c r="P67" i="4"/>
  <c r="P43" i="3"/>
  <c r="Q43" i="3"/>
  <c r="C18" i="14"/>
  <c r="C19" i="14"/>
  <c r="G26" i="13"/>
  <c r="G27" i="13"/>
  <c r="AQ27" i="13"/>
  <c r="AR27" i="13"/>
  <c r="I5" i="17"/>
  <c r="J25" i="17"/>
  <c r="J23" i="17"/>
  <c r="J14" i="17"/>
  <c r="K1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Sarna Family</author>
  </authors>
  <commentList>
    <comment ref="D27" authorId="0" shapeId="0" xr:uid="{659573A0-FBDB-477B-9054-136E8BE85701}">
      <text>
        <r>
          <rPr>
            <b/>
            <sz val="9"/>
            <color indexed="81"/>
            <rFont val="Tahoma"/>
            <family val="2"/>
          </rPr>
          <t>Sarna Family:</t>
        </r>
        <r>
          <rPr>
            <sz val="9"/>
            <color indexed="81"/>
            <rFont val="Tahoma"/>
            <family val="2"/>
          </rPr>
          <t xml:space="preserve">
2025 estimate
</t>
        </r>
      </text>
    </comment>
    <comment ref="D28" authorId="0" shapeId="0" xr:uid="{89DBBB2C-396D-47B7-9428-311DC7774EE7}">
      <text>
        <r>
          <rPr>
            <b/>
            <sz val="9"/>
            <color indexed="81"/>
            <rFont val="Tahoma"/>
            <family val="2"/>
          </rPr>
          <t>Sarna Family:</t>
        </r>
        <r>
          <rPr>
            <sz val="9"/>
            <color indexed="81"/>
            <rFont val="Tahoma"/>
            <family val="2"/>
          </rPr>
          <t xml:space="preserve">
2025 estimate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<sst xmlns="http://schemas.openxmlformats.org/spreadsheetml/2006/main" count="1396" uniqueCount="755">
  <si>
    <t>Assets</t>
  </si>
  <si>
    <t>Liabilities</t>
  </si>
  <si>
    <t>Net Worth</t>
  </si>
  <si>
    <t>Cash</t>
  </si>
  <si>
    <t>Money Market</t>
  </si>
  <si>
    <t>Investments</t>
  </si>
  <si>
    <t>Treasuries</t>
  </si>
  <si>
    <t>Stock</t>
  </si>
  <si>
    <t>Real Estate</t>
  </si>
  <si>
    <t>Rate</t>
  </si>
  <si>
    <t>Statement</t>
  </si>
  <si>
    <t>Mortgage</t>
  </si>
  <si>
    <t>Today</t>
  </si>
  <si>
    <t>Implied Cap Rate</t>
  </si>
  <si>
    <t>Rent</t>
  </si>
  <si>
    <t>Fair Market Value Estimate</t>
  </si>
  <si>
    <t>Do you rent?</t>
  </si>
  <si>
    <t>No</t>
  </si>
  <si>
    <t>Yes</t>
  </si>
  <si>
    <t>Maintenance</t>
  </si>
  <si>
    <t>Property Taxes</t>
  </si>
  <si>
    <t>Actual</t>
  </si>
  <si>
    <t>Monthly Rent Estimate</t>
  </si>
  <si>
    <t>Balance</t>
  </si>
  <si>
    <t>Purch Price</t>
  </si>
  <si>
    <t>Value Chg</t>
  </si>
  <si>
    <t>Amount gain/loss</t>
  </si>
  <si>
    <t>Actual Annual Rent</t>
  </si>
  <si>
    <t>Total Assets</t>
  </si>
  <si>
    <t>Retirement</t>
  </si>
  <si>
    <t>Total Liabilities</t>
  </si>
  <si>
    <t>Total</t>
  </si>
  <si>
    <t>Check</t>
  </si>
  <si>
    <t>Carry and RSUs</t>
  </si>
  <si>
    <t>Professional Loan (Private Equity)</t>
  </si>
  <si>
    <t>Tuition</t>
  </si>
  <si>
    <t>Babysitter</t>
  </si>
  <si>
    <t>Last statement Balance</t>
  </si>
  <si>
    <t>Current Balance</t>
  </si>
  <si>
    <t>shares</t>
  </si>
  <si>
    <t>Fidelity</t>
  </si>
  <si>
    <t>Trade Date</t>
  </si>
  <si>
    <t>Need to be filled out</t>
  </si>
  <si>
    <t>Liquid Investments</t>
  </si>
  <si>
    <t>Retirement Assets</t>
  </si>
  <si>
    <t>Student Debt</t>
  </si>
  <si>
    <t>Stock Allocation</t>
  </si>
  <si>
    <t>Real Estate Performance</t>
  </si>
  <si>
    <t>Insurance</t>
  </si>
  <si>
    <t>Taxes</t>
  </si>
  <si>
    <t>Maintenance / HOA Fees</t>
  </si>
  <si>
    <t>Property Management</t>
  </si>
  <si>
    <t>Debt Interest</t>
  </si>
  <si>
    <t>Alternative Investments</t>
  </si>
  <si>
    <t>Capital Calls</t>
  </si>
  <si>
    <t>Credit Cards</t>
  </si>
  <si>
    <t>Dependent Care</t>
  </si>
  <si>
    <t>Club Memberships</t>
  </si>
  <si>
    <t>Utilities</t>
  </si>
  <si>
    <t>Phone</t>
  </si>
  <si>
    <t>Babysitter Bonus</t>
  </si>
  <si>
    <t>Subcategory</t>
  </si>
  <si>
    <t>Total ex Debt Interest</t>
  </si>
  <si>
    <t>Cable</t>
  </si>
  <si>
    <t>Golf dues</t>
  </si>
  <si>
    <t>Cars</t>
  </si>
  <si>
    <t>Umbrella insurance</t>
  </si>
  <si>
    <t>Savings &amp; Money Market Accounts</t>
  </si>
  <si>
    <t>Travel (not on credit card)</t>
  </si>
  <si>
    <t>Undergrad</t>
  </si>
  <si>
    <t>Graduate</t>
  </si>
  <si>
    <t>Term</t>
  </si>
  <si>
    <t>Interest</t>
  </si>
  <si>
    <t>Income</t>
  </si>
  <si>
    <t>Expenses</t>
  </si>
  <si>
    <t>Partner1 Bonus</t>
  </si>
  <si>
    <t>Partner1 Income</t>
  </si>
  <si>
    <t>Partner2 Income</t>
  </si>
  <si>
    <t>Partner2 Bonus</t>
  </si>
  <si>
    <t>Cash Flow Prediction Model</t>
  </si>
  <si>
    <t>Cash Flow</t>
  </si>
  <si>
    <t>Net Cash Flow</t>
  </si>
  <si>
    <t>Asset Allocation</t>
  </si>
  <si>
    <t>Need</t>
  </si>
  <si>
    <t>Current</t>
  </si>
  <si>
    <t>Months in checking</t>
  </si>
  <si>
    <t>Months in Money Market</t>
  </si>
  <si>
    <t>Months in Treasuries</t>
  </si>
  <si>
    <t>Months Total</t>
  </si>
  <si>
    <t>GURU Suggestion</t>
  </si>
  <si>
    <t>Customer Selected Parameters</t>
  </si>
  <si>
    <t>Cash Management Action to Take</t>
  </si>
  <si>
    <t>`</t>
  </si>
  <si>
    <t>Move From</t>
  </si>
  <si>
    <t>Move to</t>
  </si>
  <si>
    <t>Checking</t>
  </si>
  <si>
    <t>Excess / (Deficit)</t>
  </si>
  <si>
    <t>TEXT FOR BOX (NEED TO MANUALLY LINK TO BOX)</t>
  </si>
  <si>
    <t>Yield on Liquid cash</t>
  </si>
  <si>
    <t>After Optimization</t>
  </si>
  <si>
    <t>[Addresss]</t>
  </si>
  <si>
    <t>Forecast</t>
  </si>
  <si>
    <t>THESE COLUMNS HAVE DATA FOR THE CHARTS TO THE LEFT</t>
  </si>
  <si>
    <t>By Optimizing Your Cash We Calculate an Increase of</t>
  </si>
  <si>
    <t>in Annual Income</t>
  </si>
  <si>
    <t>[TBD]</t>
  </si>
  <si>
    <t>Cost:</t>
  </si>
  <si>
    <t>Return / Yield:</t>
  </si>
  <si>
    <t>[TOP 5 BEST AND WORST PERFORMERS ]</t>
  </si>
  <si>
    <t>[TOTAL FEES / COMMISSIONS PAID]</t>
  </si>
  <si>
    <t>[PIE CHART OF SHORT, MEDIUM, LONG TERM CASH NEEDS BASED ON MODEL]</t>
  </si>
  <si>
    <t>[SUGGESTED ALLOCATION OF ASSETS VS. CURRENT]</t>
  </si>
  <si>
    <t xml:space="preserve"> </t>
  </si>
  <si>
    <t>DASHBOARD OUTPUT [WORK IN PROGRESS]</t>
  </si>
  <si>
    <t>Return</t>
  </si>
  <si>
    <t>Travel / Holiday</t>
  </si>
  <si>
    <t>Principal Payment Monthly</t>
  </si>
  <si>
    <t>MODEL BACKUPS ----&gt;</t>
  </si>
  <si>
    <t>Redacted ZIP</t>
  </si>
  <si>
    <t>PLATINUM SAVINGS</t>
  </si>
  <si>
    <t>Bank of America</t>
  </si>
  <si>
    <t>ADV PLUS SAVINGS</t>
  </si>
  <si>
    <t>SAVINGS</t>
  </si>
  <si>
    <t>ONLINE SAVINGS</t>
  </si>
  <si>
    <t>no activity</t>
  </si>
  <si>
    <t>Type of Account</t>
  </si>
  <si>
    <t>Notes</t>
  </si>
  <si>
    <t>Need to adjust for $7K IRA contribution</t>
  </si>
  <si>
    <t>Fidelity International Index Fund</t>
  </si>
  <si>
    <t>Fidelity Total Market Index Fund</t>
  </si>
  <si>
    <t>Fidelity Zero International Index</t>
  </si>
  <si>
    <t>Fidelity Small Cap Value Index FD</t>
  </si>
  <si>
    <t>JP Morgan Equity Income Fund</t>
  </si>
  <si>
    <t>Meta</t>
  </si>
  <si>
    <t>Gain</t>
  </si>
  <si>
    <t>$</t>
  </si>
  <si>
    <t>Y</t>
  </si>
  <si>
    <t>Cost Basis</t>
  </si>
  <si>
    <t>Fund</t>
  </si>
  <si>
    <t>Pinterest</t>
  </si>
  <si>
    <t>Fidelity Zero Total Market Index Fund</t>
  </si>
  <si>
    <t>Brokerage</t>
  </si>
  <si>
    <t>Retirements</t>
  </si>
  <si>
    <t>Fidelity US Bond Index</t>
  </si>
  <si>
    <t>401(k)</t>
  </si>
  <si>
    <t>Roth IRA</t>
  </si>
  <si>
    <t>Composition</t>
  </si>
  <si>
    <t>Kinsale</t>
  </si>
  <si>
    <t>Lemonade</t>
  </si>
  <si>
    <t>See "Investment Breakdown"</t>
  </si>
  <si>
    <t>None</t>
  </si>
  <si>
    <t>Crypto</t>
  </si>
  <si>
    <t>Coinbase</t>
  </si>
  <si>
    <t>Seattle</t>
  </si>
  <si>
    <t>Next Twelve Months</t>
  </si>
  <si>
    <t>Taxes (TBD)</t>
  </si>
  <si>
    <t>Personal Insurance</t>
  </si>
  <si>
    <t>Phone / Utilities</t>
  </si>
  <si>
    <t>Months</t>
  </si>
  <si>
    <t>Parking</t>
  </si>
  <si>
    <t>Yield on cash</t>
  </si>
  <si>
    <t>Compensation</t>
  </si>
  <si>
    <t>If Income</t>
  </si>
  <si>
    <t>Goes to Zero</t>
  </si>
  <si>
    <t>Per Sarah</t>
  </si>
  <si>
    <t>Checking - used only to access ATMs</t>
  </si>
  <si>
    <t>Main account - payroll, credit card payments</t>
  </si>
  <si>
    <t>Electricity</t>
  </si>
  <si>
    <t>Water</t>
  </si>
  <si>
    <t>Next 12</t>
  </si>
  <si>
    <t>formulas for L</t>
  </si>
  <si>
    <t>International</t>
  </si>
  <si>
    <t xml:space="preserve">International </t>
  </si>
  <si>
    <t>US</t>
  </si>
  <si>
    <t>Small Cap</t>
  </si>
  <si>
    <t>Liquid Investment Assets</t>
  </si>
  <si>
    <t>Other Single Stock</t>
  </si>
  <si>
    <t>US Small Cap</t>
  </si>
  <si>
    <t>US Dividend / Value</t>
  </si>
  <si>
    <t>Brokerage Account</t>
  </si>
  <si>
    <t>Pre-Tax</t>
  </si>
  <si>
    <t>After- Tax</t>
  </si>
  <si>
    <t>US Bonds</t>
  </si>
  <si>
    <t>Single Stock</t>
  </si>
  <si>
    <t>Retirement Accounts</t>
  </si>
  <si>
    <t>Retirement by Taxable</t>
  </si>
  <si>
    <t>Retirement by Category</t>
  </si>
  <si>
    <t>US Total Market (Dow Jones Index)</t>
  </si>
  <si>
    <t>Top Fees and Performance</t>
  </si>
  <si>
    <t>S&amp;P500</t>
  </si>
  <si>
    <t>Fees</t>
  </si>
  <si>
    <t>Performance</t>
  </si>
  <si>
    <t>1 year</t>
  </si>
  <si>
    <t>5 year</t>
  </si>
  <si>
    <t xml:space="preserve">10 year </t>
  </si>
  <si>
    <t>Since Financial Crisis</t>
  </si>
  <si>
    <t>Dow Jones</t>
  </si>
  <si>
    <t>Russell 2000</t>
  </si>
  <si>
    <t>MSCI ACWI (Global Equity Index)</t>
  </si>
  <si>
    <t>https://curvo.eu/backtest/en/compare-indexes/dow-jones-industrial-average-vs-msci-acwi-vs-sp-500?currency=usd</t>
  </si>
  <si>
    <t>FSKAX</t>
  </si>
  <si>
    <t>FZILX</t>
  </si>
  <si>
    <t>FISVX</t>
  </si>
  <si>
    <t>10 year</t>
  </si>
  <si>
    <t>NA</t>
  </si>
  <si>
    <t>Credit Cards / Line of Credits</t>
  </si>
  <si>
    <t>Date downloaded Apr-05-2025 at 10:13 a.m ET</t>
  </si>
  <si>
    <t>Brokerage services are provided by Fidelity Brokerage Services LLC (FBS), 900 Salem Street, Smithfield, RI 02917. Custody and other services provided by National Financial Services LLC (NFS). Both are Fidelity Investment companies and members SIPC, NYSE. Neither FBS nor NFS offer crypto as a direct investment nor provide trading or custody services for such assets.</t>
  </si>
  <si>
    <t>The data and information in this spreadsheet is provided to you solely for your use and is not for distribution. The spreadsheet is provided for informational purposes only, and is not intended to provide advice, nor should it be construed as an offer to sell, a solicitation of an offer to buy or a recommendation for any security by Fidelity or any third party. Data and information shown is based on information known to Fidelity as of the date it was exported and is subject to change. It should not be used in place of your account statements or trade confirmations and is not intended for tax reporting purposes. For more information on the data included in this spreadsheet, including any limitations thereof, go to Fidelity.com.</t>
  </si>
  <si>
    <t>FIDELITY U.S. BOND INDEX FUND</t>
  </si>
  <si>
    <t>FXNAX</t>
  </si>
  <si>
    <t>BrokerageLink</t>
  </si>
  <si>
    <t>FIDELITY ZERO INTERNATIONAL INDEX</t>
  </si>
  <si>
    <t>FIDELITY SMALL CAP VALUE INDEX FD</t>
  </si>
  <si>
    <t>FIDELITY ZERO TOTAL MARKET INDEX</t>
  </si>
  <si>
    <t>FZROX</t>
  </si>
  <si>
    <t>FID US BOND IDX</t>
  </si>
  <si>
    <t>JPMCB SR PB 2055 CFA</t>
  </si>
  <si>
    <t>48128E733</t>
  </si>
  <si>
    <t>--</t>
  </si>
  <si>
    <t>BROKERAGELINK</t>
  </si>
  <si>
    <t>LEMONADE INC COM</t>
  </si>
  <si>
    <t>LMND</t>
  </si>
  <si>
    <t>KINSALE CAP GROUP INC COM</t>
  </si>
  <si>
    <t>KNSL</t>
  </si>
  <si>
    <t>FDIC-INSURED DEPOSIT SWEEP</t>
  </si>
  <si>
    <t>CORE**</t>
  </si>
  <si>
    <t>PINTEREST INC CL A</t>
  </si>
  <si>
    <t>PINS</t>
  </si>
  <si>
    <t>BANK AMERICA CORP COM</t>
  </si>
  <si>
    <t>BAC</t>
  </si>
  <si>
    <t>JPMORGAN EQUITY INCOME FUND CL A</t>
  </si>
  <si>
    <t>OIEIX</t>
  </si>
  <si>
    <t>FIDELITY INTERNATL INDEX FUND</t>
  </si>
  <si>
    <t>FSPSX</t>
  </si>
  <si>
    <t>META PLATFORMS INC CLASS A COMMON STOCK</t>
  </si>
  <si>
    <t>META</t>
  </si>
  <si>
    <t>FIDELITY TOTAL MARKET INDEX FUND</t>
  </si>
  <si>
    <t>HELD IN FCASH</t>
  </si>
  <si>
    <t>FCASH**</t>
  </si>
  <si>
    <t>Type</t>
  </si>
  <si>
    <t>Average Cost Basis</t>
  </si>
  <si>
    <t>Cost Basis Total</t>
  </si>
  <si>
    <t>Percent Of Account</t>
  </si>
  <si>
    <t>Total Gain/Loss Percent</t>
  </si>
  <si>
    <t>Total Gain/Loss Dollar</t>
  </si>
  <si>
    <t>Today's Gain/Loss Percent</t>
  </si>
  <si>
    <t>Today's Gain/Loss Dollar</t>
  </si>
  <si>
    <t>Current Value</t>
  </si>
  <si>
    <t>Last Price Change</t>
  </si>
  <si>
    <t>Last Price</t>
  </si>
  <si>
    <t>Quantity</t>
  </si>
  <si>
    <t>Description</t>
  </si>
  <si>
    <t>Symbol</t>
  </si>
  <si>
    <t>Account Name</t>
  </si>
  <si>
    <t>Account Number</t>
  </si>
  <si>
    <t>Cash Sweep</t>
  </si>
  <si>
    <t>Immediate</t>
  </si>
  <si>
    <t>Low</t>
  </si>
  <si>
    <t>High</t>
  </si>
  <si>
    <t>Average</t>
  </si>
  <si>
    <t>Fee for processing the loan (may be negotiable)</t>
  </si>
  <si>
    <t>Underwriting Fee</t>
  </si>
  <si>
    <t>Lender fee for evaluating your loan</t>
  </si>
  <si>
    <t>Appraisal Fee</t>
  </si>
  <si>
    <t>Required to assess home value</t>
  </si>
  <si>
    <t>Credit Report Fee</t>
  </si>
  <si>
    <t>Pulling your credit</t>
  </si>
  <si>
    <t>Title Search &amp; Insurance</t>
  </si>
  <si>
    <t>Protects against ownership disputes</t>
  </si>
  <si>
    <t>Recording Fees</t>
  </si>
  <si>
    <t>County/city fee to record the new deed</t>
  </si>
  <si>
    <t>Escrow Fees</t>
  </si>
  <si>
    <t>Fixed Transaction Costs</t>
  </si>
  <si>
    <t>Down Payment Range</t>
  </si>
  <si>
    <t>Down Payment</t>
  </si>
  <si>
    <t>Origination Fee</t>
  </si>
  <si>
    <t>Monthly paycheck</t>
  </si>
  <si>
    <t>No Change</t>
  </si>
  <si>
    <t>Make your Selection</t>
  </si>
  <si>
    <t>[$]</t>
  </si>
  <si>
    <t>Balances</t>
  </si>
  <si>
    <t>% of Total</t>
  </si>
  <si>
    <t xml:space="preserve">Current </t>
  </si>
  <si>
    <t>GURU
Suggestion</t>
  </si>
  <si>
    <t>Your Selection</t>
  </si>
  <si>
    <t>Annual Income</t>
  </si>
  <si>
    <t>Your Product Selection</t>
  </si>
  <si>
    <t>Growth equity market ETFs</t>
  </si>
  <si>
    <t>Medium-Term</t>
  </si>
  <si>
    <t>Short-Term</t>
  </si>
  <si>
    <t>Long-Term</t>
  </si>
  <si>
    <t>Liquid Brokerage Investments</t>
  </si>
  <si>
    <r>
      <t xml:space="preserve">2-3 months </t>
    </r>
    <r>
      <rPr>
        <sz val="10"/>
        <color theme="0"/>
        <rFont val="Aptos Narrow"/>
        <family val="2"/>
        <scheme val="minor"/>
      </rPr>
      <t>of liquid cash for immediate expenditures</t>
    </r>
  </si>
  <si>
    <t>Remaining asets</t>
  </si>
  <si>
    <r>
      <rPr>
        <b/>
        <sz val="10"/>
        <color theme="0"/>
        <rFont val="Aptos Narrow"/>
        <family val="2"/>
        <scheme val="minor"/>
      </rPr>
      <t xml:space="preserve">Next 3 year saving for large expenditures </t>
    </r>
    <r>
      <rPr>
        <sz val="10"/>
        <color theme="0"/>
        <rFont val="Aptos Narrow"/>
        <family val="2"/>
        <scheme val="minor"/>
      </rPr>
      <t>(real estate down payment)</t>
    </r>
  </si>
  <si>
    <t>Implied $</t>
  </si>
  <si>
    <t>Allocate Monthly Paycheck</t>
  </si>
  <si>
    <t>Beginning balance</t>
  </si>
  <si>
    <t>Paycheck accumulation</t>
  </si>
  <si>
    <t>Paycheck accumulation + Interest Earned</t>
  </si>
  <si>
    <t xml:space="preserve">Only Paycheck accumulation </t>
  </si>
  <si>
    <r>
      <t xml:space="preserve">5 years + investment horizon. </t>
    </r>
    <r>
      <rPr>
        <sz val="10"/>
        <color theme="0"/>
        <rFont val="Aptos Narrow"/>
        <family val="2"/>
        <scheme val="minor"/>
      </rPr>
      <t>Remaining assets including retirement</t>
    </r>
  </si>
  <si>
    <r>
      <t xml:space="preserve">Extra cash for the next one  year </t>
    </r>
    <r>
      <rPr>
        <sz val="10"/>
        <color theme="0"/>
        <rFont val="Aptos Narrow"/>
        <family val="2"/>
        <scheme val="minor"/>
      </rPr>
      <t>for unanticipated expenditures or as a "just in case buffer"</t>
    </r>
  </si>
  <si>
    <r>
      <t xml:space="preserve">Extra cash for the next one  year </t>
    </r>
    <r>
      <rPr>
        <sz val="10"/>
        <color theme="0"/>
        <rFont val="Aptos Narrow"/>
        <family val="2"/>
        <scheme val="minor"/>
      </rPr>
      <t>for unanticipated expenditures, months of cash outflow or a "just in case buffer"</t>
    </r>
  </si>
  <si>
    <t>S&amp;P 500</t>
  </si>
  <si>
    <t>5-year Portfolio</t>
  </si>
  <si>
    <t>10-year portfolio</t>
  </si>
  <si>
    <t>20+ year portfolio</t>
  </si>
  <si>
    <t>Conservative growth + Real Assets</t>
  </si>
  <si>
    <t>Bonds</t>
  </si>
  <si>
    <t>Next 12 Months Snapshot</t>
  </si>
  <si>
    <t>Money to Move Today</t>
  </si>
  <si>
    <t>REITS, Commodities</t>
  </si>
  <si>
    <t>Total US</t>
  </si>
  <si>
    <t>VTI or VOO</t>
  </si>
  <si>
    <t>SCHD or DGRO</t>
  </si>
  <si>
    <t>Large Cap Growth</t>
  </si>
  <si>
    <t>U.S. Large Cap (S&amp;P 500)</t>
  </si>
  <si>
    <t>U.S. Total Market</t>
  </si>
  <si>
    <t>70-80% large cap  and 20-30% small &amp; mid cap</t>
  </si>
  <si>
    <t>Nasdaq 100</t>
  </si>
  <si>
    <t>U.S. Dividend/Quality</t>
  </si>
  <si>
    <t>VEA</t>
  </si>
  <si>
    <t>Emerging Markets</t>
  </si>
  <si>
    <t>Category</t>
  </si>
  <si>
    <t>U.S. Small Cap</t>
  </si>
  <si>
    <t>VWO</t>
  </si>
  <si>
    <t>Crypto (Optional)</t>
  </si>
  <si>
    <t>If add maybe reduce U.S. lareg cap growth</t>
  </si>
  <si>
    <t>Total Internaitonal</t>
  </si>
  <si>
    <t>Total International</t>
  </si>
  <si>
    <t>heavy us focus with 15-20% international. But chat gpt says that blackrock model portfolios suggest 30-40%</t>
  </si>
  <si>
    <t>CURRENT - moderately more US focused</t>
  </si>
  <si>
    <t>A growth-leaning portfolio designed for a medium-short time horizon, balancing upside potential with downside protection. It incorporates high-quality U.S. equities, global diversification, and a meaningful bond allocation (10%) to buffer volatility. Ideal for investors who want growth but may need liquidity within 3–5 years.</t>
  </si>
  <si>
    <t>A globally diversified, equity-heavy portfolio for investors with a 10-year horizon who are comfortable with market fluctuations. This portfolio tilts toward U.S. total market and growth equities, while still maintaining meaningful international exposure to capture broader global opportunities.</t>
  </si>
  <si>
    <t>Bloomberg Aggregate Bond Index</t>
  </si>
  <si>
    <t>VTI (Vanguard Total Stock Market)</t>
  </si>
  <si>
    <t>VOO (Vanguard S&amp;P 500)</t>
  </si>
  <si>
    <t>VB (Vanguard Small Cap ETF) or IWM (iShares Russell 2000 ETF)</t>
  </si>
  <si>
    <t>SCHD (Schwab U.S. Dividend Equity ETF) or DGRO (iShares Core Dividend Growth ETF)</t>
  </si>
  <si>
    <t>QQQ (Invesco QQQ Trust - Nasdaq 100) or VUG (Vanguard Growth ETF - Russell 1000)</t>
  </si>
  <si>
    <t>VEA (Vanguard FTSE Deveoped Market ETF) or IEFA (iShares Core MSCI EAFE ETF)</t>
  </si>
  <si>
    <t>VWO (Vanguard FTSE Emerging Markets ETF) or IEMG (iShares Core MSCI Emerging Markets ETF)</t>
  </si>
  <si>
    <t>VNQ ( Vanguard Real Estate ETF) or PDBC (Invesco Optimum Yield Diversified Commodity)</t>
  </si>
  <si>
    <t>Bitwise 10 Crypto Index</t>
  </si>
  <si>
    <t>European and Japanese markets</t>
  </si>
  <si>
    <t>Downside cushion, stability</t>
  </si>
  <si>
    <t>Fast growing economies</t>
  </si>
  <si>
    <t>Inflation hedge, asset diversification</t>
  </si>
  <si>
    <t>Built for investors with a long time horizon and high risk tolerance, this portfolio maximizes growth potential through aggressive equity allocations. It includes a strong U.S. tilt with a heavy focus on large cap growth and small cap value, while maintaining robust international exposure.</t>
  </si>
  <si>
    <t>Global Core Growth with Equity-Heavy Portfolio</t>
  </si>
  <si>
    <t>High Risk Tolerance with Greater U.S. Tilt</t>
  </si>
  <si>
    <t>5-Year Portfolio</t>
  </si>
  <si>
    <t>10-Year Portfolio</t>
  </si>
  <si>
    <t>20+ Year Portfolio</t>
  </si>
  <si>
    <t>Conservative Growth with Downside Protection in Bonds</t>
  </si>
  <si>
    <t>moderately more US focused</t>
  </si>
  <si>
    <t xml:space="preserve">growth oriented </t>
  </si>
  <si>
    <t>Backbone of most portfolios</t>
  </si>
  <si>
    <t>Large, stable (S&amp;P 500)</t>
  </si>
  <si>
    <t>Catch-all allocation (~75% large &amp; ~25% small/mid cap)</t>
  </si>
  <si>
    <t>Innovation, tech, volatile</t>
  </si>
  <si>
    <t>Higher growth but more volatile</t>
  </si>
  <si>
    <t>Defensive stocks, reliable income, lower volatility</t>
  </si>
  <si>
    <t>If add reduce another category</t>
  </si>
  <si>
    <t>Make Your Selection</t>
  </si>
  <si>
    <t>SELECT YOUR MODEL PORTFOLIO</t>
  </si>
  <si>
    <t>MODEL PORTFOLIOS</t>
  </si>
  <si>
    <t>98% developed</t>
  </si>
  <si>
    <t>84% developed</t>
  </si>
  <si>
    <t>14.5% emerging</t>
  </si>
  <si>
    <t>Other single stock holdings</t>
  </si>
  <si>
    <t>Current Balances</t>
  </si>
  <si>
    <t>Your Model Portfolio</t>
  </si>
  <si>
    <t>Difference Between Current and Model Portfolio</t>
  </si>
  <si>
    <t>20+ Year</t>
  </si>
  <si>
    <t>5 Years</t>
  </si>
  <si>
    <t>10 Year</t>
  </si>
  <si>
    <t>Portfolio Investment Horizon</t>
  </si>
  <si>
    <t xml:space="preserve"> Retirement </t>
  </si>
  <si>
    <t>Liquid Brokerage</t>
  </si>
  <si>
    <t>Subtotal</t>
  </si>
  <si>
    <t>Reabalancing Your Portfolio with Cash</t>
  </si>
  <si>
    <t>Vs. Your Model Portfolio</t>
  </si>
  <si>
    <t>Ending Balance</t>
  </si>
  <si>
    <t>Developed Markets</t>
  </si>
  <si>
    <t>Ending Composition</t>
  </si>
  <si>
    <t>Your Current Balances</t>
  </si>
  <si>
    <t>LIQUID BROKERAGE ASSETS</t>
  </si>
  <si>
    <t>+ Cash From Reallocation and Next 12 Months Pay</t>
  </si>
  <si>
    <t>+ Invest Your Cash in Brokerage</t>
  </si>
  <si>
    <t xml:space="preserve">Next 12 Month Paycheck </t>
  </si>
  <si>
    <t>Cash in Brokerage</t>
  </si>
  <si>
    <t>Cash Available to Allocate</t>
  </si>
  <si>
    <t>Capital preservation and Liquidity</t>
  </si>
  <si>
    <t>ETFs/ Mutual Funds</t>
  </si>
  <si>
    <t>Total Market Index Fund</t>
  </si>
  <si>
    <t>US Large Cap</t>
  </si>
  <si>
    <t>International Index Fund</t>
  </si>
  <si>
    <t>International Index</t>
  </si>
  <si>
    <t>Small Cap Value Index FD</t>
  </si>
  <si>
    <t>US Bond Index</t>
  </si>
  <si>
    <t>Alternative Assets</t>
  </si>
  <si>
    <t>Amex Gold</t>
  </si>
  <si>
    <t>Amazon Card</t>
  </si>
  <si>
    <t>[Savings 3 Placeholder]</t>
  </si>
  <si>
    <t>January</t>
  </si>
  <si>
    <t>February</t>
  </si>
  <si>
    <t>March</t>
  </si>
  <si>
    <t>April</t>
  </si>
  <si>
    <t xml:space="preserve">May </t>
  </si>
  <si>
    <t>June</t>
  </si>
  <si>
    <t>July</t>
  </si>
  <si>
    <t xml:space="preserve">August </t>
  </si>
  <si>
    <t>September</t>
  </si>
  <si>
    <t>October</t>
  </si>
  <si>
    <t>November</t>
  </si>
  <si>
    <t>December</t>
  </si>
  <si>
    <t>from b/s</t>
  </si>
  <si>
    <t>check</t>
  </si>
  <si>
    <t>Emergency fund calculation</t>
  </si>
  <si>
    <t>Next Month</t>
  </si>
  <si>
    <t>Take minimum</t>
  </si>
  <si>
    <t>IMMEDIATE</t>
  </si>
  <si>
    <t>SHORT</t>
  </si>
  <si>
    <t>Monthly Income</t>
  </si>
  <si>
    <t>Cumulative Net Cash Flow Trough</t>
  </si>
  <si>
    <t xml:space="preserve">Next 3 year saving for large expenditures </t>
  </si>
  <si>
    <t>% of Loan</t>
  </si>
  <si>
    <t>Total Cash Need to Buy a Larger Home</t>
  </si>
  <si>
    <t>Increase in Price of New Home vs. Current</t>
  </si>
  <si>
    <t>Total for Medum Term Category</t>
  </si>
  <si>
    <t>Trough over next 12 months</t>
  </si>
  <si>
    <t>Paycheck Allocation</t>
  </si>
  <si>
    <t>Stock Compensation</t>
  </si>
  <si>
    <t>Private Equity Carry</t>
  </si>
  <si>
    <t>Alternative Asset Investments</t>
  </si>
  <si>
    <t>Mortgages</t>
  </si>
  <si>
    <t>Professional / PE Loans</t>
  </si>
  <si>
    <t>Rent on Primary Residence</t>
  </si>
  <si>
    <t>Manhattan Apartment</t>
  </si>
  <si>
    <t>Florida Investment Property</t>
  </si>
  <si>
    <t>Cumulative Net Cash Flow*</t>
  </si>
  <si>
    <t>GURU optimizer</t>
  </si>
  <si>
    <t>Yield</t>
  </si>
  <si>
    <t>Immediate - Ending</t>
  </si>
  <si>
    <t>Paycheck allocation</t>
  </si>
  <si>
    <t>Income allocation</t>
  </si>
  <si>
    <t>Immediate - Interest Income</t>
  </si>
  <si>
    <t>Short - Ending</t>
  </si>
  <si>
    <t>Short - Interest Income</t>
  </si>
  <si>
    <t>Cash moved to immediate term</t>
  </si>
  <si>
    <t>Interest Income Calculation</t>
  </si>
  <si>
    <t>Minimum Threshold for Ending Balance</t>
  </si>
  <si>
    <t xml:space="preserve"> Medium - Ending</t>
  </si>
  <si>
    <t xml:space="preserve"> Medium - Interest Income</t>
  </si>
  <si>
    <t>CASH FLOW MODEL</t>
  </si>
  <si>
    <t>BALANCE SHEET MODEL</t>
  </si>
  <si>
    <t>Director/Junior MD Private Equity - Bonus</t>
  </si>
  <si>
    <t>Director/Junior MD Private Equity - Salary</t>
  </si>
  <si>
    <t>Marketing Prof - Salary</t>
  </si>
  <si>
    <t>Marketing Prof - Bonus</t>
  </si>
  <si>
    <t>Subtotal Cash</t>
  </si>
  <si>
    <t>Cash moved to Short Term</t>
  </si>
  <si>
    <t>Immediate - Beginning (Assumes Interest Accrued End of Month)</t>
  </si>
  <si>
    <t>Short - Beginning  (Assumes Interest Accrued End of Month)</t>
  </si>
  <si>
    <t>Short</t>
  </si>
  <si>
    <t>Medium</t>
  </si>
  <si>
    <t>[Placeholder]</t>
  </si>
  <si>
    <t xml:space="preserve"> Medium - Beginning  (Assumes Interest Accrued End of Month)</t>
  </si>
  <si>
    <t>Net cash flow excluding interet income</t>
  </si>
  <si>
    <t>Net Cash Flow Excl Interest Income</t>
  </si>
  <si>
    <t>T-bills accrue at end of the period and Treasuries (1 year+) semi annually</t>
  </si>
  <si>
    <t>Cumulative Net Cash Flow Excl Interest Income</t>
  </si>
  <si>
    <t>Sensitivities</t>
  </si>
  <si>
    <t>Optimizer</t>
  </si>
  <si>
    <t>%</t>
  </si>
  <si>
    <t>Allocate Year-End Bonus</t>
  </si>
  <si>
    <t xml:space="preserve">% Make Your Selection </t>
  </si>
  <si>
    <t>Deductions</t>
  </si>
  <si>
    <t>City Tax</t>
  </si>
  <si>
    <t>State Tax</t>
  </si>
  <si>
    <t>Federal Tax</t>
  </si>
  <si>
    <t>Consolidated Tax</t>
  </si>
  <si>
    <t>Total Salary and Bonus</t>
  </si>
  <si>
    <t>Medicare</t>
  </si>
  <si>
    <t>Total Deductions</t>
  </si>
  <si>
    <t>401K ($23K max)</t>
  </si>
  <si>
    <t>Health Insurane ($15K)</t>
  </si>
  <si>
    <t>Social security ($9.9K)</t>
  </si>
  <si>
    <t>Increase From
Today</t>
  </si>
  <si>
    <t>CIT Money Market Fund</t>
  </si>
  <si>
    <t>Capital Gains</t>
  </si>
  <si>
    <t>Annual Pre-Tax Income</t>
  </si>
  <si>
    <t>Immediate - Interest Income After-Tax</t>
  </si>
  <si>
    <t>Tax rate</t>
  </si>
  <si>
    <t>Short - Interest Income After-Tax</t>
  </si>
  <si>
    <t>Tax Rate</t>
  </si>
  <si>
    <t xml:space="preserve"> Medium - Accrued Interest</t>
  </si>
  <si>
    <t xml:space="preserve"> Medium - Accrued Interest After-Tax</t>
  </si>
  <si>
    <t>ZEROD OUT BECAUSE NOT PAID OUT TILL END OF TERM</t>
  </si>
  <si>
    <t>Medium - Usually Zero unless transaction account</t>
  </si>
  <si>
    <t>Interest From Bank Accounts</t>
  </si>
  <si>
    <t>Cash Income</t>
  </si>
  <si>
    <t>Cash Expenses</t>
  </si>
  <si>
    <t>1 Year Treasuries + 2028 Muni Bonds</t>
  </si>
  <si>
    <t>Annual Cash Income</t>
  </si>
  <si>
    <t>Yield on immediate, short and medium</t>
  </si>
  <si>
    <t>Change in yield</t>
  </si>
  <si>
    <t>Increase from Current - Total</t>
  </si>
  <si>
    <t>Increase from Current - immediate,short and medium</t>
  </si>
  <si>
    <t>Allocation of:</t>
  </si>
  <si>
    <t>Monthly Paycheck</t>
  </si>
  <si>
    <t>Year-End Bonus</t>
  </si>
  <si>
    <t>Tax Effected Yield</t>
  </si>
  <si>
    <t>JPMorgan 100% Treasuries Money Market Fund</t>
  </si>
  <si>
    <t>GURU's Suggested Calculation</t>
  </si>
  <si>
    <t>Long-Term Liquid</t>
  </si>
  <si>
    <t>Long-Term Retirement</t>
  </si>
  <si>
    <t>Long-Term Other (RE, Alts, Stock Comp)</t>
  </si>
  <si>
    <t>US Total Market</t>
  </si>
  <si>
    <t>implied tax rate</t>
  </si>
  <si>
    <t>Reallocation from Cash Mgmt</t>
  </si>
  <si>
    <t>Max</t>
  </si>
  <si>
    <t>Min</t>
  </si>
  <si>
    <t>Annual Salary + Bonus</t>
  </si>
  <si>
    <r>
      <t xml:space="preserve">Monthly Expenses </t>
    </r>
    <r>
      <rPr>
        <b/>
        <vertAlign val="superscript"/>
        <sz val="16"/>
        <color rgb="FF333F50"/>
        <rFont val="Calibri"/>
        <family val="2"/>
      </rPr>
      <t>(1)</t>
    </r>
  </si>
  <si>
    <t>Annual Net Cash Flow</t>
  </si>
  <si>
    <r>
      <t xml:space="preserve">Monthly Cash Flow </t>
    </r>
    <r>
      <rPr>
        <b/>
        <vertAlign val="superscript"/>
        <sz val="16"/>
        <color rgb="FF333F50"/>
        <rFont val="Calibri"/>
        <family val="2"/>
      </rPr>
      <t>(1)</t>
    </r>
  </si>
  <si>
    <t>Median</t>
  </si>
  <si>
    <t>14% of cash income</t>
  </si>
  <si>
    <t xml:space="preserve">Months of expenses in cash In bank account </t>
  </si>
  <si>
    <t xml:space="preserve">Months of cash outflow in cash In bank account </t>
  </si>
  <si>
    <t>Cash Excess/Deficit Positon</t>
  </si>
  <si>
    <t>Cash in Bank Accounts</t>
  </si>
  <si>
    <t>Cash Management</t>
  </si>
  <si>
    <t>Increasing</t>
  </si>
  <si>
    <t>Stable</t>
  </si>
  <si>
    <t>Too conservative</t>
  </si>
  <si>
    <t>Equities</t>
  </si>
  <si>
    <t>Current %</t>
  </si>
  <si>
    <t>Checking Account</t>
  </si>
  <si>
    <t>Products used Today</t>
  </si>
  <si>
    <t>Money Market Account</t>
  </si>
  <si>
    <t>Yield Today</t>
  </si>
  <si>
    <t>GURU Suggested Balance</t>
  </si>
  <si>
    <t>Less amount hold in immediate</t>
  </si>
  <si>
    <t>Long - Beginning  (Assumes Interest Accrued End of Month)</t>
  </si>
  <si>
    <t>Long - Ending</t>
  </si>
  <si>
    <r>
      <t xml:space="preserve">5 years + investment horizon.
</t>
    </r>
    <r>
      <rPr>
        <sz val="10"/>
        <color theme="0"/>
        <rFont val="Aptos Narrow"/>
        <family val="2"/>
        <scheme val="minor"/>
      </rPr>
      <t>Taxable Brokerage + Retirement</t>
    </r>
  </si>
  <si>
    <t>ONLY BANK AND BROKERAGE ACCOUNTS</t>
  </si>
  <si>
    <t>Asset Category</t>
  </si>
  <si>
    <t>Comments</t>
  </si>
  <si>
    <t>[Return]</t>
  </si>
  <si>
    <t>Asset Category (Continued)</t>
  </si>
  <si>
    <t>Liability Category</t>
  </si>
  <si>
    <t>Cost</t>
  </si>
  <si>
    <t>Chase Total Checking</t>
  </si>
  <si>
    <t>Checking Bank Accounts</t>
  </si>
  <si>
    <t>Citizens Private Banking Checking</t>
  </si>
  <si>
    <t>Citizens Private Bank Money Market</t>
  </si>
  <si>
    <t>Fidelity Taxable Brokerage</t>
  </si>
  <si>
    <t>Private Equity Fund 1</t>
  </si>
  <si>
    <t>Private Equity Fund 2</t>
  </si>
  <si>
    <t>Carry Private Equity Fund 1</t>
  </si>
  <si>
    <t>Carry Private Equity Fund 2</t>
  </si>
  <si>
    <t>Carry</t>
  </si>
  <si>
    <t>Tribeca (Primary)</t>
  </si>
  <si>
    <t>Sarasota (Investment)</t>
  </si>
  <si>
    <t>Fidelity 401(k) / IRA</t>
  </si>
  <si>
    <t>Fidelity Roth IRA</t>
  </si>
  <si>
    <t>Goldman RSUs</t>
  </si>
  <si>
    <t>Chase Sapphire Preferred</t>
  </si>
  <si>
    <t>Remaining Capital Commitment</t>
  </si>
  <si>
    <t>Main Account</t>
  </si>
  <si>
    <t>Floating in 3 mo</t>
  </si>
  <si>
    <t>Need to review</t>
  </si>
  <si>
    <t>CapitalOne 360 Perf Savings</t>
  </si>
  <si>
    <t>Memo:</t>
  </si>
  <si>
    <t>Long-Term Other</t>
  </si>
  <si>
    <t>GURU</t>
  </si>
  <si>
    <t>Status Quo</t>
  </si>
  <si>
    <t>Short Term Accounts</t>
  </si>
  <si>
    <t>Medium-Term Accounts</t>
  </si>
  <si>
    <t>Long-Term Accounts</t>
  </si>
  <si>
    <t>Net Worth - Beginning</t>
  </si>
  <si>
    <t xml:space="preserve">Net Worth - Ending </t>
  </si>
  <si>
    <t>Subtotal Cash: After Tax Income and Expenses</t>
  </si>
  <si>
    <t>Total Net Worth</t>
  </si>
  <si>
    <t>Long-Term
( Brokerage &amp; Retirement)</t>
  </si>
  <si>
    <t>Move cash from Medium-Term to Short-Term</t>
  </si>
  <si>
    <t>Move cash from Short-Term to Immediate</t>
  </si>
  <si>
    <t>Income allocation to Immediate</t>
  </si>
  <si>
    <t>Expenses (100% through immediate)</t>
  </si>
  <si>
    <t>Income allocation to Short-Term</t>
  </si>
  <si>
    <t>Income allocation to Medium-Term</t>
  </si>
  <si>
    <r>
      <rPr>
        <b/>
        <sz val="16"/>
        <rFont val="Calibri"/>
        <family val="2"/>
      </rPr>
      <t xml:space="preserve">Plus: </t>
    </r>
    <r>
      <rPr>
        <sz val="16"/>
        <rFont val="Calibri"/>
        <family val="2"/>
      </rPr>
      <t>Cash Moved from Short-Term Into Immediate</t>
    </r>
  </si>
  <si>
    <r>
      <rPr>
        <b/>
        <sz val="16"/>
        <rFont val="Calibri"/>
        <family val="2"/>
      </rPr>
      <t>Less:</t>
    </r>
    <r>
      <rPr>
        <sz val="16"/>
        <rFont val="Calibri"/>
        <family val="2"/>
      </rPr>
      <t xml:space="preserve"> Expenses</t>
    </r>
  </si>
  <si>
    <r>
      <rPr>
        <b/>
        <sz val="16"/>
        <rFont val="Calibri"/>
        <family val="2"/>
      </rPr>
      <t xml:space="preserve">Plus: </t>
    </r>
    <r>
      <rPr>
        <sz val="16"/>
        <rFont val="Calibri"/>
        <family val="2"/>
      </rPr>
      <t>Income Allocation to Immediate</t>
    </r>
  </si>
  <si>
    <r>
      <rPr>
        <b/>
        <sz val="16"/>
        <rFont val="Calibri"/>
        <family val="2"/>
      </rPr>
      <t xml:space="preserve">Plus: </t>
    </r>
    <r>
      <rPr>
        <sz val="16"/>
        <rFont val="Calibri"/>
        <family val="2"/>
      </rPr>
      <t>Cash Moved from Medium-Term Into Immediate</t>
    </r>
  </si>
  <si>
    <r>
      <t xml:space="preserve">Less: </t>
    </r>
    <r>
      <rPr>
        <sz val="16"/>
        <rFont val="Calibri"/>
        <family val="2"/>
      </rPr>
      <t>Cash Moved from Short-Term Into Immediate</t>
    </r>
  </si>
  <si>
    <r>
      <rPr>
        <b/>
        <sz val="16"/>
        <rFont val="Calibri"/>
        <family val="2"/>
      </rPr>
      <t xml:space="preserve">Plus: </t>
    </r>
    <r>
      <rPr>
        <sz val="16"/>
        <rFont val="Calibri"/>
        <family val="2"/>
      </rPr>
      <t>Income Allocation to Short-Term</t>
    </r>
  </si>
  <si>
    <r>
      <rPr>
        <b/>
        <sz val="16"/>
        <rFont val="Calibri"/>
        <family val="2"/>
      </rPr>
      <t>Plus:</t>
    </r>
    <r>
      <rPr>
        <sz val="16"/>
        <rFont val="Calibri"/>
        <family val="2"/>
      </rPr>
      <t xml:space="preserve"> Income Allocation to Immediate</t>
    </r>
  </si>
  <si>
    <t>High volatility with $20-60K a month</t>
  </si>
  <si>
    <t>Long-Term (Other)</t>
  </si>
  <si>
    <t xml:space="preserve">Real estate,  alternative assets and stock compensation </t>
  </si>
  <si>
    <t>Less: Positive Net Cash Flow Over Next Three Years</t>
  </si>
  <si>
    <t>Below 5%</t>
  </si>
  <si>
    <t xml:space="preserve">Brokeragte + Retirement </t>
  </si>
  <si>
    <t>Brokerage + Retirement</t>
  </si>
  <si>
    <t>Model Portfolio</t>
  </si>
  <si>
    <t>US Large Cap Growth</t>
  </si>
  <si>
    <t>Developed International</t>
  </si>
  <si>
    <t>Taxable Brokerage</t>
  </si>
  <si>
    <t>Other Single Stock Holdings</t>
  </si>
  <si>
    <t>Customer selected</t>
  </si>
  <si>
    <t>Customer Selected</t>
  </si>
  <si>
    <t>GURU METHOD</t>
  </si>
  <si>
    <t>DETAILED BALANCE SHEET</t>
  </si>
  <si>
    <t>SUMMARY NET WORTH / BALANCE SHEET</t>
  </si>
  <si>
    <t>Liquid Investments (Taxable Brokerage)</t>
  </si>
  <si>
    <t>Student Loans</t>
  </si>
  <si>
    <t>Credit Cards / Lines of Credit</t>
  </si>
  <si>
    <t>Professional Loans (Private Equity)</t>
  </si>
  <si>
    <t>Less: Total Liabilities</t>
  </si>
  <si>
    <t>Commited and includes penalties for liquidity</t>
  </si>
  <si>
    <t>Highly liquid</t>
  </si>
  <si>
    <t>Liquid (tax inefficent)</t>
  </si>
  <si>
    <t>Liquid (time to sell)</t>
  </si>
  <si>
    <t>Beginning</t>
  </si>
  <si>
    <t>Ending</t>
  </si>
  <si>
    <t>Total Expenses</t>
  </si>
  <si>
    <t>Core Expenses</t>
  </si>
  <si>
    <t>1Q2025</t>
  </si>
  <si>
    <t>2Q2025</t>
  </si>
  <si>
    <t>3Q2025</t>
  </si>
  <si>
    <t>4Q2025</t>
  </si>
  <si>
    <t>4Q2024</t>
  </si>
  <si>
    <t>One-Time Expenses</t>
  </si>
  <si>
    <t>Data Label</t>
  </si>
  <si>
    <t>Change</t>
  </si>
  <si>
    <t>(Assets - Liabilities)</t>
  </si>
  <si>
    <t>Your Net Worth:</t>
  </si>
  <si>
    <t>Immediate Interest Income</t>
  </si>
  <si>
    <t>Short-Term Interest Income</t>
  </si>
  <si>
    <t>Medium-Term Interest Income</t>
  </si>
  <si>
    <r>
      <rPr>
        <b/>
        <sz val="16"/>
        <rFont val="Calibri"/>
        <family val="2"/>
      </rPr>
      <t xml:space="preserve">Plus: </t>
    </r>
    <r>
      <rPr>
        <sz val="16"/>
        <rFont val="Calibri"/>
        <family val="2"/>
      </rPr>
      <t>After-Tax Interest Income</t>
    </r>
  </si>
  <si>
    <r>
      <t xml:space="preserve">Less: </t>
    </r>
    <r>
      <rPr>
        <sz val="16"/>
        <rFont val="Calibri"/>
        <family val="2"/>
      </rPr>
      <t>Cash Moved from Medium-Term to Immediate</t>
    </r>
  </si>
  <si>
    <t>US small /mid cap</t>
  </si>
  <si>
    <t>Overexposure to SMID</t>
  </si>
  <si>
    <t>GURU - current</t>
  </si>
  <si>
    <t>Additional cash outflow over the next 12 months</t>
  </si>
  <si>
    <t>Building downpayment for larger apartment in 3 years</t>
  </si>
  <si>
    <t>Months of Expenses Covered by Cash</t>
  </si>
  <si>
    <t>Cash_Treasuries</t>
  </si>
  <si>
    <t>A: Cash in Investment Accounts to be Deployed</t>
  </si>
  <si>
    <t>B: Excess cash to be reallocate to investments</t>
  </si>
  <si>
    <t>11 months in a cash outflow position</t>
  </si>
  <si>
    <t xml:space="preserve">Cash Needed for Next 12 Months </t>
  </si>
  <si>
    <t>Cumulative cash trough (Nov 2025)</t>
  </si>
  <si>
    <t>Optimizer Notification</t>
  </si>
  <si>
    <t>Total Cash You Should Invest Today (A+B):</t>
  </si>
  <si>
    <t>CLICK HERE</t>
  </si>
  <si>
    <t>GURU Recommendation</t>
  </si>
  <si>
    <t>Execute Trade?</t>
  </si>
  <si>
    <t>Product</t>
  </si>
  <si>
    <t>Expense Ratio</t>
  </si>
  <si>
    <t>Total Amount</t>
  </si>
  <si>
    <t>How many months to buy into the position</t>
  </si>
  <si>
    <t>Monthly Amount</t>
  </si>
  <si>
    <t>Vanguard S&amp;P 500 (VOO)</t>
  </si>
  <si>
    <t>Invesco QQQ Trust</t>
  </si>
  <si>
    <t>Schwab U.S. Dividend Equity ETF</t>
  </si>
  <si>
    <t>iShares Core MSCI EAFE ETF</t>
  </si>
  <si>
    <t>iShares Core MSCI Emerging Markets ETF</t>
  </si>
  <si>
    <t>Invesco Optimum Yield Diversification Commodity</t>
  </si>
  <si>
    <t>Remaining Cash</t>
  </si>
  <si>
    <t>Vanguard Total Stock Market (VTI)</t>
  </si>
  <si>
    <t>iShares Russell 2000 ETF (IWM)</t>
  </si>
  <si>
    <t>Bloomberg Aggregate Bond Inex</t>
  </si>
  <si>
    <t xml:space="preserve">iShares Core U.S. Aggregate Bond ETF </t>
  </si>
  <si>
    <t>Excess</t>
  </si>
  <si>
    <t>Bank</t>
  </si>
  <si>
    <t>Money Market Fund</t>
  </si>
  <si>
    <t>Stock Comp</t>
  </si>
  <si>
    <t>Alternative Inv</t>
  </si>
  <si>
    <t>Net worth - fake data</t>
  </si>
  <si>
    <t>Projected Cash Flow</t>
  </si>
  <si>
    <t>total cash flow in 12 months</t>
  </si>
  <si>
    <t>Projected Cumulative Cash Flow</t>
  </si>
  <si>
    <t>T-Bill</t>
  </si>
  <si>
    <t>Cash required for next 12 months</t>
  </si>
  <si>
    <t>Income vs. Expense Projection</t>
  </si>
  <si>
    <t>Cash Management Monitor</t>
  </si>
  <si>
    <t>SUFFICIENT FUNDS</t>
  </si>
  <si>
    <t>Liquid Accounts:</t>
  </si>
  <si>
    <t>On Hand</t>
  </si>
  <si>
    <t>..</t>
  </si>
  <si>
    <t>…</t>
  </si>
  <si>
    <t>Current savings</t>
  </si>
  <si>
    <t>Projected cumulative cashflow</t>
  </si>
  <si>
    <t>Projected monthly cash flow</t>
  </si>
  <si>
    <t>GURU Cash Management</t>
  </si>
  <si>
    <t>Funds to cover cash need</t>
  </si>
  <si>
    <t>Total Immediate</t>
  </si>
  <si>
    <t>SUFFICIENT FUNDS FOR 12 MONTHS</t>
  </si>
  <si>
    <t xml:space="preserve">Goal: </t>
  </si>
  <si>
    <t>Purchase new primary residence (+$1-2million)</t>
  </si>
  <si>
    <t>Target savings</t>
  </si>
  <si>
    <t>Estimated date goal reached</t>
  </si>
  <si>
    <t>Tracking Medium-Term Goal</t>
  </si>
  <si>
    <t>Taxable Brokerage + Retirement Accounts</t>
  </si>
  <si>
    <t>Taxable brokerage + retirement</t>
  </si>
  <si>
    <t>Current vs. Target Model Portfolio</t>
  </si>
  <si>
    <t>1 Year performance</t>
  </si>
  <si>
    <t>vs. Index</t>
  </si>
  <si>
    <t>GURU OPTIMIZER</t>
  </si>
  <si>
    <t>Identified Additional Cash Income / Year</t>
  </si>
  <si>
    <t>Cash Optimizer</t>
  </si>
  <si>
    <t>Investments Optimizer</t>
  </si>
  <si>
    <t>Actions Here</t>
  </si>
  <si>
    <t>implied tax effected yield</t>
  </si>
  <si>
    <t>reallocating cash toward long term investments</t>
  </si>
  <si>
    <t>better cash management product selection</t>
  </si>
  <si>
    <t>Impact just product selection</t>
  </si>
  <si>
    <t>Impact of realllocating cash</t>
  </si>
  <si>
    <t>Increased Investments</t>
  </si>
  <si>
    <t>Breaking down how the Income is generated</t>
  </si>
  <si>
    <t xml:space="preserve">
After Tax Yield</t>
  </si>
  <si>
    <t>Implied Tax Rate</t>
  </si>
  <si>
    <t>Growth</t>
  </si>
  <si>
    <t>optimizer on</t>
  </si>
  <si>
    <t>optimizer off</t>
  </si>
  <si>
    <t>Target Amount</t>
  </si>
  <si>
    <t>Less: Liabilities</t>
  </si>
  <si>
    <t>growth</t>
  </si>
  <si>
    <t>optimer off</t>
  </si>
  <si>
    <t>Net worth - Long Term Forecast</t>
  </si>
  <si>
    <t>Long-Term Investments</t>
  </si>
  <si>
    <t>Cash (Immediate, Short, Medium)</t>
  </si>
  <si>
    <t>Go Alone</t>
  </si>
  <si>
    <t>With GURU</t>
  </si>
  <si>
    <t>Source</t>
  </si>
  <si>
    <t>MONEY MOVEMENT PROJECTION</t>
  </si>
  <si>
    <t>Ending Cash
12/31/2025</t>
  </si>
  <si>
    <t>Beginning
1/1/25</t>
  </si>
  <si>
    <t>Reserve</t>
  </si>
  <si>
    <t>Flow</t>
  </si>
  <si>
    <t>Build</t>
  </si>
  <si>
    <t>HELOC</t>
  </si>
  <si>
    <t>SOFR+100bps</t>
  </si>
  <si>
    <t>Margin Loan</t>
  </si>
  <si>
    <t>SOFR+200bps</t>
  </si>
  <si>
    <t xml:space="preserve">          Pre-approved Bank Offerings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</si>
</sst>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5" formatCode="&quot;$&quot;#,##0_);\(&quot;$&quot;#,##0\)"/>
    <numFmt numFmtId="6" formatCode="&quot;$&quot;#,##0_);[Red]\(&quot;$&quot;#,##0\)"/>
    <numFmt numFmtId="7" formatCode="&quot;$&quot;#,##0.00_);\(&quot;$&quot;#,##0.00\)"/>
    <numFmt numFmtId="8" formatCode="&quot;$&quot;#,##0.00_);[Red]\(&quot;$&quot;#,##0.00\)"/>
    <numFmt numFmtId="164" formatCode="&quot;$&quot;#.0&quot; million&quot;"/>
    <numFmt numFmtId="165" formatCode="0.0%"/>
    <numFmt numFmtId="166" formatCode="&quot;+&quot;0"/>
    <numFmt numFmtId="167" formatCode="mmm\ yyyy"/>
    <numFmt numFmtId="168" formatCode="&quot;$&quot;#,##0.0_);[Red]\(&quot;$&quot;#,##0.0\)"/>
    <numFmt numFmtId="169" formatCode="&quot;Increase by &quot;&quot;$&quot;#,##0&quot;K&quot;_);&quot;Decrease by &quot;&quot;$&quot;#,##0"/>
    <numFmt numFmtId="170" formatCode="&quot;[&quot;0%&quot;]&quot;"/>
    <numFmt numFmtId="171" formatCode="&quot;$&quot;#,##0"/>
    <numFmt numFmtId="172" formatCode="&quot;Increase by &quot;&quot;$&quot;#,##0_);&quot;Decrease by &quot;&quot;$&quot;#,##0"/>
    <numFmt numFmtId="173" formatCode="0%;\-0%;&quot;-&quot;"/>
    <numFmt numFmtId="174" formatCode="&quot;$&quot;#,##0_);[Red]\(&quot;$&quot;#,##0\);\-_)"/>
    <numFmt numFmtId="175" formatCode="#,##0_);\(#,##0\);\-_)"/>
    <numFmt numFmtId="176" formatCode="&quot;+&quot;&quot;$&quot;#,##0_);&quot;-&quot;&quot;$&quot;#,##0;\-_)"/>
    <numFmt numFmtId="177" formatCode="&quot;+&quot;#,##0_);&quot;-&quot;#,##0;\-_)"/>
    <numFmt numFmtId="178" formatCode="#,##0.00_);\(#,##0.00\);\-_)"/>
    <numFmt numFmtId="179" formatCode="General&quot; months&quot;"/>
    <numFmt numFmtId="180" formatCode="&quot;On&quot;;&quot;error&quot;;&quot;Off&quot;"/>
    <numFmt numFmtId="181" formatCode="0.000%"/>
    <numFmt numFmtId="182" formatCode="&quot;+&quot;&quot;$&quot;#,##0_);&quot;-&quot;&quot;$&quot;#,##0"/>
    <numFmt numFmtId="183" formatCode="&quot;[&quot;0.0%&quot;]&quot;"/>
    <numFmt numFmtId="184" formatCode="&quot;$&quot;#,##0.0"/>
    <numFmt numFmtId="185" formatCode="#,##0&quot; months&quot;"/>
    <numFmt numFmtId="186" formatCode="0.00%;\-0.00%;\-_%"/>
    <numFmt numFmtId="187" formatCode="\+#,##0;\-#,##0;0"/>
    <numFmt numFmtId="188" formatCode="&quot;+&quot;&quot;$&quot;#,##0;\-&quot;$&quot;#,##0;\-"/>
    <numFmt numFmtId="189" formatCode="\+#,##0.000;\-#,##0.000;0.000"/>
    <numFmt numFmtId="190" formatCode="#,##0.0_);\(#,##0.0\);\-_)"/>
    <numFmt numFmtId="191" formatCode="0&quot; months&quot;"/>
    <numFmt numFmtId="192" formatCode="&quot;+&quot;&quot;$&quot;#,##0_);&quot;-&quot;&quot;$&quot;#,##0;\-"/>
    <numFmt numFmtId="193" formatCode="&quot;+&quot;&quot;$&quot;#,##0.0_);&quot;-&quot;&quot;$&quot;#,##0.0;\-"/>
    <numFmt numFmtId="194" formatCode="mmmm\ yyyy"/>
    <numFmt numFmtId="195" formatCode="0%&quot; of goal&quot;"/>
    <numFmt numFmtId="196" formatCode="&quot;$&quot;#,##0.00"/>
    <numFmt numFmtId="197" formatCode="&quot;+&quot;&quot;$&quot;#,##0_);[Red]\(&quot;$&quot;#,##0\)"/>
    <numFmt numFmtId="198" formatCode="&quot;$&quot;#,##0&quot;K&quot;_);\(&quot;$&quot;#,##0\)"/>
    <numFmt numFmtId="199" formatCode="&quot;+&quot;&quot;$&quot;#,##0_);&quot;-&quot;&quot;$&quot;#,##0&quot;K&quot;"/>
  </numFmts>
  <fonts count="129">
    <font>
      <sz val="11"/>
      <color theme="1"/>
      <name val="Aptos Narrow"/>
      <family val="2"/>
      <scheme val="minor"/>
    </font>
    <font>
      <b/>
      <sz val="11"/>
      <color theme="1"/>
      <name val="Aptos Narrow"/>
      <family val="2"/>
      <scheme val="minor"/>
    </font>
    <font>
      <sz val="11"/>
      <color theme="0"/>
      <name val="Aptos Narrow"/>
      <family val="2"/>
      <scheme val="minor"/>
    </font>
    <font>
      <sz val="11"/>
      <color rgb="FF0000E1"/>
      <name val="Aptos Narrow"/>
      <family val="2"/>
      <scheme val="minor"/>
    </font>
    <font>
      <sz val="11"/>
      <name val="Aptos Narrow"/>
      <family val="2"/>
      <scheme val="minor"/>
    </font>
    <font>
      <b/>
      <sz val="11"/>
      <color rgb="FF0000E1"/>
      <name val="Aptos Narrow"/>
      <family val="2"/>
      <scheme val="minor"/>
    </font>
    <font>
      <sz val="11"/>
      <color theme="1"/>
      <name val="Calibri"/>
      <family val="2"/>
    </font>
    <font>
      <b/>
      <sz val="11"/>
      <color theme="1"/>
      <name val="Calibri"/>
      <family val="2"/>
    </font>
    <font>
      <b/>
      <sz val="13"/>
      <color theme="1"/>
      <name val="Aptos Narrow"/>
      <family val="2"/>
      <scheme val="minor"/>
    </font>
    <font>
      <sz val="11"/>
      <color rgb="FFFF0000"/>
      <name val="Aptos Narrow"/>
      <family val="2"/>
      <scheme val="minor"/>
    </font>
    <font>
      <sz val="9"/>
      <color indexed="81"/>
      <name val="Tahoma"/>
      <family val="2"/>
    </font>
    <font>
      <b/>
      <sz val="9"/>
      <color indexed="81"/>
      <name val="Tahoma"/>
      <family val="2"/>
    </font>
    <font>
      <sz val="11"/>
      <color theme="1"/>
      <name val="Aptos body"/>
    </font>
    <font>
      <b/>
      <sz val="20"/>
      <color theme="4" tint="0.39997558519241921"/>
      <name val="Aptos body"/>
    </font>
    <font>
      <b/>
      <sz val="11"/>
      <color theme="1"/>
      <name val="Aptos body"/>
    </font>
    <font>
      <b/>
      <u/>
      <sz val="11"/>
      <color theme="1"/>
      <name val="Aptos body"/>
    </font>
    <font>
      <sz val="10"/>
      <color theme="1"/>
      <name val="Aptos body"/>
    </font>
    <font>
      <b/>
      <sz val="10"/>
      <color theme="1"/>
      <name val="Aptos body"/>
    </font>
    <font>
      <b/>
      <sz val="12"/>
      <color theme="1"/>
      <name val="Aptos body"/>
    </font>
    <font>
      <sz val="12"/>
      <color theme="1"/>
      <name val="Aptos body"/>
    </font>
    <font>
      <b/>
      <sz val="16"/>
      <color theme="4" tint="0.39997558519241921"/>
      <name val="Aptos body"/>
    </font>
    <font>
      <sz val="16"/>
      <color theme="1"/>
      <name val="Aptos body"/>
    </font>
    <font>
      <sz val="10"/>
      <color rgb="FF0000E1"/>
      <name val="Aptos body"/>
    </font>
    <font>
      <sz val="10"/>
      <name val="Aptos body"/>
    </font>
    <font>
      <sz val="11"/>
      <color indexed="8"/>
      <name val="Aptos Narrow"/>
      <family val="2"/>
      <scheme val="minor"/>
    </font>
    <font>
      <b/>
      <sz val="20"/>
      <color theme="1"/>
      <name val="Aptos body"/>
    </font>
    <font>
      <sz val="20"/>
      <color theme="1"/>
      <name val="Aptos body"/>
    </font>
    <font>
      <b/>
      <u/>
      <sz val="20"/>
      <color theme="1"/>
      <name val="Aptos body"/>
    </font>
    <font>
      <sz val="16"/>
      <color theme="1"/>
      <name val="Aptos Narrow"/>
      <family val="2"/>
      <scheme val="minor"/>
    </font>
    <font>
      <sz val="11"/>
      <color rgb="FFFF0000"/>
      <name val="Aptos Body"/>
    </font>
    <font>
      <b/>
      <sz val="20"/>
      <color theme="0"/>
      <name val="Aptos body"/>
    </font>
    <font>
      <sz val="12"/>
      <color theme="0"/>
      <name val="Aptos body"/>
    </font>
    <font>
      <sz val="20"/>
      <color theme="0"/>
      <name val="Aptos body"/>
    </font>
    <font>
      <b/>
      <sz val="40"/>
      <color theme="1"/>
      <name val="Aptos body"/>
    </font>
    <font>
      <b/>
      <sz val="18"/>
      <color theme="4" tint="0.39997558519241921"/>
      <name val="Aptos body"/>
    </font>
    <font>
      <sz val="18"/>
      <color theme="1"/>
      <name val="Aptos Narrow"/>
      <family val="2"/>
      <scheme val="minor"/>
    </font>
    <font>
      <b/>
      <u/>
      <sz val="11"/>
      <color theme="1"/>
      <name val="Aptos Narrow"/>
      <family val="2"/>
      <scheme val="minor"/>
    </font>
    <font>
      <b/>
      <sz val="11"/>
      <color theme="0"/>
      <name val="Aptos body"/>
    </font>
    <font>
      <b/>
      <sz val="10"/>
      <color theme="0"/>
      <name val="Aptos body"/>
    </font>
    <font>
      <u/>
      <sz val="11"/>
      <color theme="10"/>
      <name val="Aptos Narrow"/>
      <family val="2"/>
      <scheme val="minor"/>
    </font>
    <font>
      <sz val="11"/>
      <name val="Aptos Body"/>
    </font>
    <font>
      <sz val="11"/>
      <color theme="0"/>
      <name val="Aptos body"/>
    </font>
    <font>
      <sz val="12"/>
      <color theme="1"/>
      <name val="Aptos Narrow"/>
      <family val="2"/>
      <scheme val="minor"/>
    </font>
    <font>
      <sz val="10"/>
      <color theme="1"/>
      <name val="Aptos Narrow"/>
      <family val="2"/>
      <scheme val="minor"/>
    </font>
    <font>
      <b/>
      <sz val="10"/>
      <color theme="1"/>
      <name val="Aptos Narrow"/>
      <family val="2"/>
      <scheme val="minor"/>
    </font>
    <font>
      <b/>
      <sz val="10"/>
      <name val="Aptos Narrow"/>
      <family val="2"/>
      <scheme val="minor"/>
    </font>
    <font>
      <b/>
      <sz val="10"/>
      <color theme="0"/>
      <name val="Aptos Narrow"/>
      <family val="2"/>
      <scheme val="minor"/>
    </font>
    <font>
      <sz val="10"/>
      <color theme="0"/>
      <name val="Aptos Narrow"/>
      <family val="2"/>
      <scheme val="minor"/>
    </font>
    <font>
      <b/>
      <sz val="10"/>
      <color theme="5" tint="-0.249977111117893"/>
      <name val="Aptos Narrow"/>
      <family val="2"/>
      <scheme val="minor"/>
    </font>
    <font>
      <sz val="10"/>
      <name val="Aptos Narrow"/>
      <family val="2"/>
      <scheme val="minor"/>
    </font>
    <font>
      <sz val="12"/>
      <color theme="0"/>
      <name val="Aptos Narrow"/>
      <family val="2"/>
      <scheme val="minor"/>
    </font>
    <font>
      <b/>
      <sz val="16"/>
      <color rgb="FFFFFFFF"/>
      <name val="Aptos Narrow"/>
      <family val="2"/>
      <scheme val="minor"/>
    </font>
    <font>
      <b/>
      <sz val="12"/>
      <color rgb="FFFFFFFF"/>
      <name val="Aptos Narrow"/>
      <family val="2"/>
      <scheme val="minor"/>
    </font>
    <font>
      <sz val="12"/>
      <color rgb="FFFFFFFF"/>
      <name val="Aptos Narrow"/>
      <family val="2"/>
      <scheme val="minor"/>
    </font>
    <font>
      <sz val="12"/>
      <color rgb="FF000000"/>
      <name val="Aptos Narrow"/>
      <family val="2"/>
      <scheme val="minor"/>
    </font>
    <font>
      <sz val="10"/>
      <color rgb="FF000000"/>
      <name val="Aptos Narrow"/>
      <family val="2"/>
      <scheme val="minor"/>
    </font>
    <font>
      <sz val="12"/>
      <name val="Aptos Narrow"/>
      <family val="2"/>
      <scheme val="minor"/>
    </font>
    <font>
      <b/>
      <sz val="12"/>
      <color rgb="FF000000"/>
      <name val="Aptos Narrow"/>
      <family val="2"/>
      <scheme val="minor"/>
    </font>
    <font>
      <b/>
      <sz val="12"/>
      <color theme="1"/>
      <name val="Aptos Narrow"/>
      <family val="2"/>
      <scheme val="minor"/>
    </font>
    <font>
      <b/>
      <sz val="16"/>
      <color theme="1"/>
      <name val="Aptos Narrow"/>
      <family val="2"/>
      <scheme val="minor"/>
    </font>
    <font>
      <b/>
      <sz val="16"/>
      <color theme="5" tint="-0.249977111117893"/>
      <name val="Aptos Narrow"/>
      <family val="2"/>
      <scheme val="minor"/>
    </font>
    <font>
      <b/>
      <sz val="12"/>
      <color theme="5" tint="-0.249977111117893"/>
      <name val="Aptos Narrow"/>
      <family val="2"/>
      <scheme val="minor"/>
    </font>
    <font>
      <b/>
      <sz val="16"/>
      <color theme="6"/>
      <name val="Aptos Narrow"/>
      <family val="2"/>
      <scheme val="minor"/>
    </font>
    <font>
      <b/>
      <sz val="12"/>
      <color theme="0"/>
      <name val="Aptos Narrow"/>
      <family val="2"/>
      <scheme val="minor"/>
    </font>
    <font>
      <b/>
      <sz val="16"/>
      <name val="Aptos Narrow"/>
      <family val="2"/>
      <scheme val="minor"/>
    </font>
    <font>
      <b/>
      <sz val="12"/>
      <name val="Aptos Narrow"/>
      <family val="2"/>
      <scheme val="minor"/>
    </font>
    <font>
      <b/>
      <sz val="11"/>
      <name val="Aptos Narrow"/>
      <family val="2"/>
      <scheme val="minor"/>
    </font>
    <font>
      <sz val="10"/>
      <color rgb="FF0000E1"/>
      <name val="Aptos Narrow"/>
      <family val="2"/>
      <scheme val="minor"/>
    </font>
    <font>
      <b/>
      <u/>
      <sz val="10"/>
      <color theme="1"/>
      <name val="Aptos Narrow"/>
      <family val="2"/>
      <scheme val="minor"/>
    </font>
    <font>
      <b/>
      <sz val="11"/>
      <color theme="0"/>
      <name val="Aptos Narrow"/>
      <family val="2"/>
      <scheme val="minor"/>
    </font>
    <font>
      <i/>
      <sz val="11"/>
      <color theme="1"/>
      <name val="Aptos Narrow"/>
      <family val="2"/>
      <scheme val="minor"/>
    </font>
    <font>
      <i/>
      <sz val="11"/>
      <color rgb="FF0000E1"/>
      <name val="Aptos Narrow"/>
      <family val="2"/>
      <scheme val="minor"/>
    </font>
    <font>
      <i/>
      <sz val="11"/>
      <color rgb="FFFF0000"/>
      <name val="Aptos Narrow"/>
      <family val="2"/>
      <scheme val="minor"/>
    </font>
    <font>
      <b/>
      <sz val="11"/>
      <color rgb="FFFF0000"/>
      <name val="Aptos Narrow"/>
      <family val="2"/>
      <scheme val="minor"/>
    </font>
    <font>
      <i/>
      <sz val="11"/>
      <name val="Aptos Narrow"/>
      <family val="2"/>
      <scheme val="minor"/>
    </font>
    <font>
      <sz val="11"/>
      <color theme="5" tint="-0.249977111117893"/>
      <name val="Aptos Narrow"/>
      <family val="2"/>
      <scheme val="minor"/>
    </font>
    <font>
      <sz val="10"/>
      <color rgb="FFFF0000"/>
      <name val="Aptos Narrow"/>
      <family val="2"/>
      <scheme val="minor"/>
    </font>
    <font>
      <u/>
      <sz val="10"/>
      <color theme="1"/>
      <name val="Aptos body"/>
    </font>
    <font>
      <sz val="18"/>
      <name val="Arial"/>
      <family val="2"/>
    </font>
    <font>
      <sz val="16"/>
      <color rgb="FFFFFFFF"/>
      <name val="Calibri"/>
      <family val="2"/>
    </font>
    <font>
      <b/>
      <sz val="16"/>
      <color rgb="FF333F50"/>
      <name val="Calibri"/>
      <family val="2"/>
    </font>
    <font>
      <b/>
      <vertAlign val="superscript"/>
      <sz val="16"/>
      <color rgb="FF333F50"/>
      <name val="Calibri"/>
      <family val="2"/>
    </font>
    <font>
      <sz val="16"/>
      <color rgb="FF333F50"/>
      <name val="Calibri"/>
      <family val="2"/>
    </font>
    <font>
      <sz val="14"/>
      <color rgb="FF333F50"/>
      <name val="Calibri"/>
      <family val="2"/>
    </font>
    <font>
      <sz val="14"/>
      <color rgb="FFFFFFFF"/>
      <name val="Calibri"/>
      <family val="2"/>
    </font>
    <font>
      <sz val="10"/>
      <color rgb="FFFFFFFF"/>
      <name val="Calibri"/>
      <family val="2"/>
    </font>
    <font>
      <sz val="10"/>
      <color rgb="FF333F50"/>
      <name val="Calibri"/>
      <family val="2"/>
    </font>
    <font>
      <b/>
      <sz val="12"/>
      <color theme="0"/>
      <name val="Calibri"/>
      <family val="2"/>
    </font>
    <font>
      <b/>
      <sz val="16"/>
      <color rgb="FFFFFFFF"/>
      <name val="Calibri"/>
      <family val="2"/>
    </font>
    <font>
      <sz val="16"/>
      <color rgb="FFFF0000"/>
      <name val="Calibri"/>
      <family val="2"/>
    </font>
    <font>
      <sz val="16"/>
      <color rgb="FF333F50"/>
      <name val="Calibri"/>
      <family val="2"/>
    </font>
    <font>
      <b/>
      <sz val="16"/>
      <color rgb="FF333F50"/>
      <name val="Calibri"/>
      <family val="2"/>
    </font>
    <font>
      <b/>
      <sz val="16"/>
      <color rgb="FFFFFFFF"/>
      <name val="Calibri"/>
      <family val="2"/>
    </font>
    <font>
      <b/>
      <i/>
      <sz val="16"/>
      <color rgb="FFFFFFFF"/>
      <name val="Calibri"/>
      <family val="2"/>
    </font>
    <font>
      <b/>
      <sz val="16"/>
      <name val="Calibri"/>
      <family val="2"/>
    </font>
    <font>
      <sz val="16"/>
      <name val="Calibri"/>
      <family val="2"/>
    </font>
    <font>
      <sz val="11"/>
      <color rgb="FF0000E1"/>
      <name val="Aptos body"/>
    </font>
    <font>
      <b/>
      <sz val="25"/>
      <color theme="1"/>
      <name val="Aptos Narrow"/>
      <family val="2"/>
      <scheme val="minor"/>
    </font>
    <font>
      <sz val="16"/>
      <color theme="0"/>
      <name val="Calibri"/>
      <family val="2"/>
    </font>
    <font>
      <sz val="16"/>
      <color rgb="FFC00000"/>
      <name val="Calibri"/>
      <family val="2"/>
    </font>
    <font>
      <sz val="16"/>
      <color rgb="FFFF9900"/>
      <name val="Calibri"/>
      <family val="2"/>
    </font>
    <font>
      <sz val="16"/>
      <color theme="9" tint="-0.249977111117893"/>
      <name val="Calibri"/>
      <family val="2"/>
    </font>
    <font>
      <sz val="12"/>
      <color theme="9" tint="-0.249977111117893"/>
      <name val="Calibri"/>
      <family val="2"/>
    </font>
    <font>
      <sz val="12"/>
      <color rgb="FFFF9900"/>
      <name val="Calibri"/>
      <family val="2"/>
    </font>
    <font>
      <sz val="12"/>
      <color rgb="FFC00000"/>
      <name val="Calibri"/>
      <family val="2"/>
    </font>
    <font>
      <b/>
      <sz val="22"/>
      <color rgb="FFFFFFFF"/>
      <name val="Calibri"/>
      <family val="2"/>
    </font>
    <font>
      <sz val="22"/>
      <color theme="0"/>
      <name val="Calibri"/>
      <family val="2"/>
    </font>
    <font>
      <sz val="16"/>
      <color rgb="FFC00000"/>
      <name val="Aptos Narrow"/>
      <family val="2"/>
      <scheme val="minor"/>
    </font>
    <font>
      <sz val="18"/>
      <color rgb="FF333F50"/>
      <name val="Calibri"/>
      <family val="2"/>
    </font>
    <font>
      <i/>
      <sz val="18"/>
      <color rgb="FFFFFFFF"/>
      <name val="Calibri"/>
      <family val="2"/>
    </font>
    <font>
      <b/>
      <sz val="16"/>
      <color rgb="FF548235"/>
      <name val="Calibri"/>
      <family val="2"/>
    </font>
    <font>
      <sz val="16"/>
      <name val="Aptos Narrow"/>
      <family val="2"/>
      <scheme val="minor"/>
    </font>
    <font>
      <b/>
      <sz val="16"/>
      <color theme="0"/>
      <name val="Aptos Narrow"/>
      <family val="2"/>
      <scheme val="minor"/>
    </font>
    <font>
      <sz val="16"/>
      <color theme="0"/>
      <name val="Aptos Narrow"/>
      <family val="2"/>
      <scheme val="minor"/>
    </font>
    <font>
      <sz val="7"/>
      <color theme="1"/>
      <name val="Aptos Narrow"/>
      <family val="2"/>
      <scheme val="minor"/>
    </font>
    <font>
      <b/>
      <sz val="8"/>
      <color theme="1"/>
      <name val="Aptos Narrow"/>
      <family val="2"/>
      <scheme val="minor"/>
    </font>
    <font>
      <sz val="8"/>
      <color theme="1"/>
      <name val="Aptos Narrow"/>
      <family val="2"/>
      <scheme val="minor"/>
    </font>
    <font>
      <b/>
      <sz val="7"/>
      <color theme="1"/>
      <name val="Aptos Narrow"/>
      <family val="2"/>
      <scheme val="minor"/>
    </font>
    <font>
      <b/>
      <sz val="10"/>
      <color theme="9"/>
      <name val="Aptos Narrow"/>
      <family val="2"/>
      <scheme val="minor"/>
    </font>
    <font>
      <b/>
      <sz val="11"/>
      <color theme="9"/>
      <name val="Aptos Narrow"/>
      <family val="2"/>
      <scheme val="minor"/>
    </font>
    <font>
      <b/>
      <sz val="10"/>
      <color rgb="FFC00000"/>
      <name val="Aptos Narrow"/>
      <family val="2"/>
      <scheme val="minor"/>
    </font>
    <font>
      <b/>
      <sz val="7"/>
      <color theme="9"/>
      <name val="Aptos Narrow"/>
      <family val="2"/>
      <scheme val="minor"/>
    </font>
    <font>
      <b/>
      <sz val="8"/>
      <color theme="9"/>
      <name val="Aptos Narrow"/>
      <family val="2"/>
      <scheme val="minor"/>
    </font>
    <font>
      <sz val="7"/>
      <name val="Aptos Narrow"/>
      <family val="2"/>
      <scheme val="minor"/>
    </font>
    <font>
      <b/>
      <sz val="8"/>
      <color rgb="FFC00000"/>
      <name val="Aptos Narrow"/>
      <family val="2"/>
      <scheme val="minor"/>
    </font>
    <font>
      <sz val="20"/>
      <color theme="1"/>
      <name val="Aptos Narrow"/>
      <family val="2"/>
      <scheme val="minor"/>
    </font>
    <font>
      <sz val="10"/>
      <color theme="1"/>
      <name val="Calibri"/>
      <family val="2"/>
    </font>
    <font>
      <b/>
      <sz val="10"/>
      <color theme="9"/>
      <name val="Calibri"/>
      <family val="2"/>
    </font>
    <font>
      <sz val="10"/>
      <name val="Calibri"/>
      <family val="2"/>
    </font>
  </fonts>
  <fills count="4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bgColor indexed="64"/>
      </patternFill>
    </fill>
    <fill>
      <patternFill patternType="solid">
        <fgColor theme="4"/>
        <bgColor indexed="64"/>
      </patternFill>
    </fill>
    <fill>
      <patternFill patternType="solid">
        <fgColor rgb="FF8FAADC"/>
        <bgColor indexed="64"/>
      </patternFill>
    </fill>
    <fill>
      <patternFill patternType="solid">
        <fgColor rgb="FF4472C4"/>
        <bgColor indexed="64"/>
      </patternFill>
    </fill>
    <fill>
      <patternFill patternType="solid">
        <fgColor rgb="FF2F5597"/>
        <bgColor indexed="64"/>
      </patternFill>
    </fill>
    <fill>
      <patternFill patternType="solid">
        <fgColor rgb="FF203864"/>
        <bgColor indexed="64"/>
      </patternFill>
    </fill>
    <fill>
      <patternFill patternType="solid">
        <fgColor rgb="FFC5E0B4"/>
        <bgColor indexed="64"/>
      </patternFill>
    </fill>
    <fill>
      <patternFill patternType="solid">
        <fgColor rgb="FF548235"/>
        <bgColor indexed="64"/>
      </patternFill>
    </fill>
    <fill>
      <patternFill patternType="solid">
        <fgColor rgb="FFF2F2F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7030A0"/>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9"/>
        <bgColor indexed="64"/>
      </patternFill>
    </fill>
    <fill>
      <patternFill patternType="solid">
        <fgColor theme="3" tint="0.89999084444715716"/>
        <bgColor indexed="64"/>
      </patternFill>
    </fill>
    <fill>
      <patternFill patternType="solid">
        <fgColor theme="8" tint="0.59999389629810485"/>
        <bgColor indexed="64"/>
      </patternFill>
    </fill>
    <fill>
      <patternFill patternType="solid">
        <fgColor theme="5"/>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2"/>
        <bgColor indexed="64"/>
      </patternFill>
    </fill>
    <fill>
      <patternFill patternType="solid">
        <fgColor rgb="FFCFD5EA"/>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E9EBF5"/>
        <bgColor indexed="64"/>
      </patternFill>
    </fill>
    <fill>
      <patternFill patternType="solid">
        <fgColor rgb="FF00B0F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333F50"/>
        <bgColor indexed="64"/>
      </patternFill>
    </fill>
    <fill>
      <patternFill patternType="solid">
        <fgColor theme="8" tint="0.79998168889431442"/>
        <bgColor indexed="64"/>
      </patternFill>
    </fill>
  </fills>
  <borders count="176">
    <border>
      <left/>
      <right/>
      <top/>
      <bottom/>
      <diagonal/>
    </border>
    <border>
      <left/>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auto="1"/>
      </top>
      <bottom/>
      <diagonal/>
    </border>
    <border>
      <left style="mediumDashed">
        <color rgb="FFC00000"/>
      </left>
      <right style="mediumDashed">
        <color rgb="FFC00000"/>
      </right>
      <top style="mediumDashed">
        <color rgb="FFC00000"/>
      </top>
      <bottom/>
      <diagonal/>
    </border>
    <border>
      <left style="mediumDashed">
        <color rgb="FFC00000"/>
      </left>
      <right style="mediumDashed">
        <color rgb="FFC00000"/>
      </right>
      <top/>
      <bottom/>
      <diagonal/>
    </border>
    <border>
      <left style="mediumDashed">
        <color rgb="FFC00000"/>
      </left>
      <right style="mediumDashed">
        <color rgb="FFC00000"/>
      </right>
      <top/>
      <bottom style="mediumDashed">
        <color rgb="FFC00000"/>
      </bottom>
      <diagonal/>
    </border>
    <border>
      <left/>
      <right style="mediumDashed">
        <color indexed="64"/>
      </right>
      <top/>
      <bottom/>
      <diagonal/>
    </border>
    <border>
      <left style="thin">
        <color auto="1"/>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thin">
        <color indexed="64"/>
      </bottom>
      <diagonal/>
    </border>
    <border>
      <left/>
      <right style="medium">
        <color rgb="FFFF0000"/>
      </right>
      <top/>
      <bottom/>
      <diagonal/>
    </border>
    <border>
      <left style="medium">
        <color rgb="FFFF0000"/>
      </left>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style="thin">
        <color indexed="64"/>
      </right>
      <top style="thin">
        <color indexed="64"/>
      </top>
      <bottom style="thin">
        <color auto="1"/>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auto="1"/>
      </top>
      <bottom/>
      <diagonal/>
    </border>
    <border>
      <left/>
      <right style="medium">
        <color auto="1"/>
      </right>
      <top/>
      <bottom/>
      <diagonal/>
    </border>
    <border>
      <left style="thin">
        <color theme="0"/>
      </left>
      <right/>
      <top style="thin">
        <color theme="0"/>
      </top>
      <bottom style="thin">
        <color theme="0"/>
      </bottom>
      <diagonal/>
    </border>
    <border>
      <left/>
      <right style="mediumDashed">
        <color indexed="64"/>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bottom/>
      <diagonal/>
    </border>
    <border>
      <left style="thin">
        <color theme="0"/>
      </left>
      <right/>
      <top/>
      <bottom/>
      <diagonal/>
    </border>
    <border>
      <left style="thin">
        <color theme="0"/>
      </left>
      <right/>
      <top/>
      <bottom style="thin">
        <color theme="0"/>
      </bottom>
      <diagonal/>
    </border>
    <border>
      <left style="thin">
        <color theme="0"/>
      </left>
      <right style="thin">
        <color theme="0"/>
      </right>
      <top style="thin">
        <color theme="0"/>
      </top>
      <bottom style="medium">
        <color theme="3"/>
      </bottom>
      <diagonal/>
    </border>
    <border>
      <left style="thin">
        <color theme="0"/>
      </left>
      <right/>
      <top style="thin">
        <color theme="0"/>
      </top>
      <bottom style="medium">
        <color theme="3"/>
      </bottom>
      <diagonal/>
    </border>
    <border>
      <left style="medium">
        <color theme="5" tint="-0.24994659260841701"/>
      </left>
      <right style="medium">
        <color theme="0"/>
      </right>
      <top style="medium">
        <color theme="0"/>
      </top>
      <bottom style="medium">
        <color theme="0"/>
      </bottom>
      <diagonal/>
    </border>
    <border>
      <left style="medium">
        <color theme="0"/>
      </left>
      <right style="medium">
        <color theme="0"/>
      </right>
      <top style="medium">
        <color theme="3"/>
      </top>
      <bottom style="thin">
        <color theme="0"/>
      </bottom>
      <diagonal/>
    </border>
    <border>
      <left style="medium">
        <color theme="0"/>
      </left>
      <right style="medium">
        <color theme="0"/>
      </right>
      <top style="thin">
        <color theme="0"/>
      </top>
      <bottom style="medium">
        <color theme="0"/>
      </bottom>
      <diagonal/>
    </border>
    <border>
      <left style="thin">
        <color theme="0"/>
      </left>
      <right style="medium">
        <color theme="0"/>
      </right>
      <top style="medium">
        <color theme="0"/>
      </top>
      <bottom style="medium">
        <color theme="5" tint="-0.24994659260841701"/>
      </bottom>
      <diagonal/>
    </border>
    <border>
      <left/>
      <right style="medium">
        <color theme="5"/>
      </right>
      <top/>
      <bottom style="medium">
        <color theme="3"/>
      </bottom>
      <diagonal/>
    </border>
    <border>
      <left style="medium">
        <color theme="0"/>
      </left>
      <right style="medium">
        <color theme="5"/>
      </right>
      <top style="medium">
        <color theme="5"/>
      </top>
      <bottom style="medium">
        <color theme="3"/>
      </bottom>
      <diagonal/>
    </border>
    <border>
      <left style="medium">
        <color theme="0"/>
      </left>
      <right style="medium">
        <color theme="5"/>
      </right>
      <top style="medium">
        <color theme="3"/>
      </top>
      <bottom style="medium">
        <color theme="0"/>
      </bottom>
      <diagonal/>
    </border>
    <border>
      <left style="medium">
        <color theme="0"/>
      </left>
      <right style="medium">
        <color theme="5"/>
      </right>
      <top style="medium">
        <color theme="0"/>
      </top>
      <bottom style="medium">
        <color theme="0"/>
      </bottom>
      <diagonal/>
    </border>
    <border>
      <left style="medium">
        <color theme="5"/>
      </left>
      <right style="medium">
        <color theme="0"/>
      </right>
      <top style="thin">
        <color theme="0"/>
      </top>
      <bottom style="medium">
        <color theme="0"/>
      </bottom>
      <diagonal/>
    </border>
    <border>
      <left style="medium">
        <color theme="5"/>
      </left>
      <right style="medium">
        <color theme="0"/>
      </right>
      <top style="medium">
        <color theme="0"/>
      </top>
      <bottom style="medium">
        <color theme="0"/>
      </bottom>
      <diagonal/>
    </border>
    <border>
      <left style="medium">
        <color theme="5" tint="-0.24994659260841701"/>
      </left>
      <right style="medium">
        <color theme="5" tint="-0.24994659260841701"/>
      </right>
      <top style="medium">
        <color theme="5" tint="-0.24994659260841701"/>
      </top>
      <bottom style="medium">
        <color theme="3"/>
      </bottom>
      <diagonal/>
    </border>
    <border>
      <left style="medium">
        <color theme="5" tint="-0.24994659260841701"/>
      </left>
      <right style="medium">
        <color theme="5" tint="-0.24994659260841701"/>
      </right>
      <top/>
      <bottom style="medium">
        <color theme="0"/>
      </bottom>
      <diagonal/>
    </border>
    <border>
      <left style="medium">
        <color theme="5" tint="-0.24994659260841701"/>
      </left>
      <right style="medium">
        <color theme="5" tint="-0.24994659260841701"/>
      </right>
      <top/>
      <bottom style="medium">
        <color theme="5" tint="-0.24994659260841701"/>
      </bottom>
      <diagonal/>
    </border>
    <border>
      <left/>
      <right/>
      <top style="medium">
        <color theme="0"/>
      </top>
      <bottom style="medium">
        <color theme="0"/>
      </bottom>
      <diagonal/>
    </border>
    <border>
      <left style="medium">
        <color theme="0"/>
      </left>
      <right/>
      <top/>
      <bottom style="medium">
        <color theme="0"/>
      </bottom>
      <diagonal/>
    </border>
    <border>
      <left style="medium">
        <color theme="0"/>
      </left>
      <right/>
      <top style="medium">
        <color theme="0"/>
      </top>
      <bottom style="medium">
        <color theme="0"/>
      </bottom>
      <diagonal/>
    </border>
    <border>
      <left style="medium">
        <color theme="5" tint="-0.24994659260841701"/>
      </left>
      <right style="medium">
        <color theme="5" tint="-0.24994659260841701"/>
      </right>
      <top style="medium">
        <color theme="0"/>
      </top>
      <bottom style="medium">
        <color theme="0"/>
      </bottom>
      <diagonal/>
    </border>
    <border>
      <left/>
      <right/>
      <top style="medium">
        <color theme="0"/>
      </top>
      <bottom/>
      <diagonal/>
    </border>
    <border>
      <left style="thin">
        <color theme="0"/>
      </left>
      <right/>
      <top style="medium">
        <color theme="0"/>
      </top>
      <bottom/>
      <diagonal/>
    </border>
    <border>
      <left style="medium">
        <color theme="0"/>
      </left>
      <right style="medium">
        <color theme="5" tint="-0.24994659260841701"/>
      </right>
      <top/>
      <bottom style="medium">
        <color theme="0"/>
      </bottom>
      <diagonal/>
    </border>
    <border>
      <left style="medium">
        <color theme="0"/>
      </left>
      <right style="medium">
        <color theme="0"/>
      </right>
      <top/>
      <bottom style="medium">
        <color theme="0"/>
      </bottom>
      <diagonal/>
    </border>
    <border>
      <left style="medium">
        <color theme="5" tint="-0.24994659260841701"/>
      </left>
      <right style="medium">
        <color theme="5" tint="-0.24994659260841701"/>
      </right>
      <top style="medium">
        <color theme="5" tint="-0.24994659260841701"/>
      </top>
      <bottom style="medium">
        <color theme="0"/>
      </bottom>
      <diagonal/>
    </border>
    <border>
      <left style="medium">
        <color theme="0"/>
      </left>
      <right style="medium">
        <color theme="0"/>
      </right>
      <top style="medium">
        <color theme="0"/>
      </top>
      <bottom style="thin">
        <color rgb="FF203864"/>
      </bottom>
      <diagonal/>
    </border>
    <border>
      <left/>
      <right style="medium">
        <color theme="0"/>
      </right>
      <top style="medium">
        <color theme="0"/>
      </top>
      <bottom style="thin">
        <color rgb="FF203864"/>
      </bottom>
      <diagonal/>
    </border>
    <border>
      <left style="medium">
        <color theme="0"/>
      </left>
      <right style="thin">
        <color rgb="FF203864"/>
      </right>
      <top style="thin">
        <color indexed="64"/>
      </top>
      <bottom style="medium">
        <color theme="0"/>
      </bottom>
      <diagonal/>
    </border>
    <border>
      <left style="medium">
        <color theme="0"/>
      </left>
      <right style="thin">
        <color rgb="FF203864"/>
      </right>
      <top style="medium">
        <color theme="0"/>
      </top>
      <bottom style="medium">
        <color theme="0"/>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
      <left/>
      <right/>
      <top/>
      <bottom style="medium">
        <color theme="0"/>
      </bottom>
      <diagonal/>
    </border>
    <border>
      <left style="medium">
        <color theme="5" tint="-0.24994659260841701"/>
      </left>
      <right/>
      <top/>
      <bottom style="medium">
        <color theme="0"/>
      </bottom>
      <diagonal/>
    </border>
    <border>
      <left/>
      <right style="medium">
        <color theme="0"/>
      </right>
      <top/>
      <bottom style="medium">
        <color theme="0"/>
      </bottom>
      <diagonal/>
    </border>
    <border>
      <left/>
      <right/>
      <top style="medium">
        <color theme="0"/>
      </top>
      <bottom style="medium">
        <color theme="5" tint="-0.24994659260841701"/>
      </bottom>
      <diagonal/>
    </border>
    <border>
      <left/>
      <right style="medium">
        <color theme="0"/>
      </right>
      <top style="medium">
        <color theme="0"/>
      </top>
      <bottom style="medium">
        <color theme="5" tint="-0.24994659260841701"/>
      </bottom>
      <diagonal/>
    </border>
    <border>
      <left style="medium">
        <color theme="0"/>
      </left>
      <right/>
      <top/>
      <bottom/>
      <diagonal/>
    </border>
    <border>
      <left style="medium">
        <color theme="0"/>
      </left>
      <right style="medium">
        <color theme="0"/>
      </right>
      <top style="medium">
        <color theme="5" tint="-0.24994659260841701"/>
      </top>
      <bottom style="medium">
        <color theme="3"/>
      </bottom>
      <diagonal/>
    </border>
    <border>
      <left style="medium">
        <color theme="0"/>
      </left>
      <right style="medium">
        <color theme="5"/>
      </right>
      <top style="medium">
        <color theme="0"/>
      </top>
      <bottom style="medium">
        <color theme="5" tint="-0.24994659260841701"/>
      </bottom>
      <diagonal/>
    </border>
    <border>
      <left style="thin">
        <color theme="0"/>
      </left>
      <right style="thin">
        <color theme="0"/>
      </right>
      <top style="medium">
        <color theme="0"/>
      </top>
      <bottom style="thin">
        <color theme="0"/>
      </bottom>
      <diagonal/>
    </border>
    <border>
      <left style="medium">
        <color rgb="FFFFFFFF"/>
      </left>
      <right style="medium">
        <color rgb="FFFFFFFF"/>
      </right>
      <top/>
      <bottom style="medium">
        <color rgb="FFFFFFFF"/>
      </bottom>
      <diagonal/>
    </border>
    <border>
      <left style="medium">
        <color rgb="FFFFFFFF"/>
      </left>
      <right/>
      <top style="medium">
        <color rgb="FFFFFFFF"/>
      </top>
      <bottom/>
      <diagonal/>
    </border>
    <border>
      <left/>
      <right/>
      <top style="medium">
        <color rgb="FFFFFFFF"/>
      </top>
      <bottom style="medium">
        <color rgb="FFFFFFFF"/>
      </bottom>
      <diagonal/>
    </border>
    <border>
      <left/>
      <right/>
      <top style="medium">
        <color rgb="FFFFFFFF"/>
      </top>
      <bottom/>
      <diagonal/>
    </border>
    <border>
      <left/>
      <right/>
      <top/>
      <bottom style="medium">
        <color rgb="FFFFFFFF"/>
      </bottom>
      <diagonal/>
    </border>
    <border>
      <left style="medium">
        <color theme="0"/>
      </left>
      <right style="medium">
        <color theme="0"/>
      </right>
      <top style="medium">
        <color theme="3"/>
      </top>
      <bottom style="medium">
        <color theme="0"/>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style="thick">
        <color rgb="FFFFFFFF"/>
      </top>
      <bottom style="medium">
        <color rgb="FFFFFFFF"/>
      </bottom>
      <diagonal/>
    </border>
    <border>
      <left style="medium">
        <color theme="5" tint="-0.24994659260841701"/>
      </left>
      <right style="medium">
        <color theme="0"/>
      </right>
      <top style="medium">
        <color theme="5" tint="-0.24994659260841701"/>
      </top>
      <bottom style="medium">
        <color theme="0"/>
      </bottom>
      <diagonal/>
    </border>
    <border>
      <left/>
      <right style="medium">
        <color theme="5" tint="-0.24994659260841701"/>
      </right>
      <top style="medium">
        <color theme="5" tint="-0.24994659260841701"/>
      </top>
      <bottom style="medium">
        <color theme="0"/>
      </bottom>
      <diagonal/>
    </border>
    <border>
      <left style="medium">
        <color rgb="FFFFFFFF"/>
      </left>
      <right style="medium">
        <color theme="5" tint="-0.24994659260841701"/>
      </right>
      <top style="medium">
        <color rgb="FFFFFFFF"/>
      </top>
      <bottom style="medium">
        <color rgb="FFFFFFFF"/>
      </bottom>
      <diagonal/>
    </border>
    <border>
      <left style="medium">
        <color theme="5" tint="-0.24994659260841701"/>
      </left>
      <right/>
      <top style="medium">
        <color theme="0"/>
      </top>
      <bottom style="medium">
        <color theme="5" tint="-0.24994659260841701"/>
      </bottom>
      <diagonal/>
    </border>
    <border>
      <left/>
      <right style="medium">
        <color rgb="FFFFFFFF"/>
      </right>
      <top style="medium">
        <color rgb="FFFFFFFF"/>
      </top>
      <bottom style="thick">
        <color rgb="FFFFFFFF"/>
      </bottom>
      <diagonal/>
    </border>
    <border>
      <left style="medium">
        <color rgb="FFFFFFFF"/>
      </left>
      <right/>
      <top/>
      <bottom style="medium">
        <color rgb="FFFFFFFF"/>
      </bottom>
      <diagonal/>
    </border>
    <border>
      <left/>
      <right style="medium">
        <color theme="5" tint="-0.24994659260841701"/>
      </right>
      <top style="medium">
        <color theme="0"/>
      </top>
      <bottom style="medium">
        <color theme="0"/>
      </bottom>
      <diagonal/>
    </border>
    <border>
      <left style="medium">
        <color theme="5" tint="-0.24994659260841701"/>
      </left>
      <right style="medium">
        <color rgb="FFFFFFFF"/>
      </right>
      <top style="medium">
        <color theme="0"/>
      </top>
      <bottom style="medium">
        <color theme="0"/>
      </bottom>
      <diagonal/>
    </border>
    <border>
      <left style="medium">
        <color rgb="FFFFFFFF"/>
      </left>
      <right style="medium">
        <color theme="5" tint="-0.24994659260841701"/>
      </right>
      <top style="medium">
        <color theme="0"/>
      </top>
      <bottom style="medium">
        <color theme="0"/>
      </bottom>
      <diagonal/>
    </border>
    <border>
      <left style="medium">
        <color theme="0"/>
      </left>
      <right style="medium">
        <color theme="5" tint="-0.24994659260841701"/>
      </right>
      <top style="medium">
        <color theme="0"/>
      </top>
      <bottom style="medium">
        <color theme="0"/>
      </bottom>
      <diagonal/>
    </border>
    <border>
      <left/>
      <right style="medium">
        <color theme="5" tint="-0.24994659260841701"/>
      </right>
      <top style="medium">
        <color theme="0"/>
      </top>
      <bottom style="medium">
        <color theme="5" tint="-0.24994659260841701"/>
      </bottom>
      <diagonal/>
    </border>
    <border>
      <left style="medium">
        <color theme="0"/>
      </left>
      <right style="medium">
        <color theme="0"/>
      </right>
      <top style="medium">
        <color theme="0"/>
      </top>
      <bottom style="thick">
        <color rgb="FFFFFFFF"/>
      </bottom>
      <diagonal/>
    </border>
    <border>
      <left/>
      <right style="medium">
        <color theme="0"/>
      </right>
      <top/>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rgb="FFFFFFFF"/>
      </left>
      <right style="medium">
        <color rgb="FFFFFFFF"/>
      </right>
      <top style="medium">
        <color theme="0"/>
      </top>
      <bottom style="medium">
        <color theme="0"/>
      </bottom>
      <diagonal/>
    </border>
    <border>
      <left/>
      <right style="medium">
        <color rgb="FFFFFFFF"/>
      </right>
      <top/>
      <bottom style="medium">
        <color rgb="FFFFFFFF"/>
      </bottom>
      <diagonal/>
    </border>
    <border>
      <left/>
      <right style="medium">
        <color rgb="FFFFFFFF"/>
      </right>
      <top style="medium">
        <color rgb="FFFFFFFF"/>
      </top>
      <bottom style="medium">
        <color rgb="FFFFFFFF"/>
      </bottom>
      <diagonal/>
    </border>
    <border>
      <left/>
      <right style="medium">
        <color rgb="FFFFFFFF"/>
      </right>
      <top style="medium">
        <color rgb="FFFFFFFF"/>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style="thin">
        <color theme="0"/>
      </left>
      <right style="thin">
        <color theme="0"/>
      </right>
      <top style="thin">
        <color theme="0"/>
      </top>
      <bottom style="thin">
        <color indexed="64"/>
      </bottom>
      <diagonal/>
    </border>
    <border>
      <left/>
      <right/>
      <top/>
      <bottom style="thin">
        <color theme="0"/>
      </bottom>
      <diagonal/>
    </border>
    <border>
      <left style="thin">
        <color indexed="64"/>
      </left>
      <right style="thin">
        <color indexed="64"/>
      </right>
      <top style="thin">
        <color indexed="64"/>
      </top>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style="thin">
        <color theme="0"/>
      </bottom>
      <diagonal/>
    </border>
    <border>
      <left style="thin">
        <color theme="0"/>
      </left>
      <right/>
      <top style="medium">
        <color theme="0"/>
      </top>
      <bottom style="thin">
        <color theme="0"/>
      </bottom>
      <diagonal/>
    </border>
    <border>
      <left/>
      <right/>
      <top style="medium">
        <color theme="0"/>
      </top>
      <bottom style="thin">
        <color theme="0"/>
      </bottom>
      <diagonal/>
    </border>
    <border>
      <left style="medium">
        <color theme="0"/>
      </left>
      <right style="medium">
        <color theme="0"/>
      </right>
      <top style="medium">
        <color theme="0"/>
      </top>
      <bottom style="thin">
        <color theme="0"/>
      </bottom>
      <diagonal/>
    </border>
    <border>
      <left style="medium">
        <color theme="0"/>
      </left>
      <right style="medium">
        <color theme="0"/>
      </right>
      <top style="medium">
        <color theme="0"/>
      </top>
      <bottom style="thin">
        <color indexed="64"/>
      </bottom>
      <diagonal/>
    </border>
    <border>
      <left/>
      <right style="medium">
        <color theme="0"/>
      </right>
      <top style="medium">
        <color theme="0"/>
      </top>
      <bottom style="thin">
        <color indexed="64"/>
      </bottom>
      <diagonal/>
    </border>
    <border>
      <left/>
      <right style="medium">
        <color theme="0"/>
      </right>
      <top style="thin">
        <color indexed="64"/>
      </top>
      <bottom style="medium">
        <color theme="0"/>
      </bottom>
      <diagonal/>
    </border>
    <border>
      <left style="medium">
        <color theme="5" tint="-0.24994659260841701"/>
      </left>
      <right/>
      <top style="thin">
        <color indexed="64"/>
      </top>
      <bottom style="medium">
        <color theme="0"/>
      </bottom>
      <diagonal/>
    </border>
    <border>
      <left style="medium">
        <color theme="5" tint="-0.24994659260841701"/>
      </left>
      <right/>
      <top style="medium">
        <color theme="0"/>
      </top>
      <bottom style="medium">
        <color theme="0"/>
      </bottom>
      <diagonal/>
    </border>
    <border>
      <left style="medium">
        <color theme="5"/>
      </left>
      <right style="medium">
        <color theme="5"/>
      </right>
      <top style="medium">
        <color theme="3"/>
      </top>
      <bottom style="medium">
        <color theme="0"/>
      </bottom>
      <diagonal/>
    </border>
    <border>
      <left style="medium">
        <color theme="5"/>
      </left>
      <right style="medium">
        <color theme="5"/>
      </right>
      <top style="medium">
        <color theme="0"/>
      </top>
      <bottom style="medium">
        <color theme="0"/>
      </bottom>
      <diagonal/>
    </border>
    <border>
      <left style="medium">
        <color theme="5"/>
      </left>
      <right style="medium">
        <color theme="5"/>
      </right>
      <top style="medium">
        <color theme="0"/>
      </top>
      <bottom style="medium">
        <color theme="5"/>
      </bottom>
      <diagonal/>
    </border>
    <border>
      <left style="medium">
        <color theme="0"/>
      </left>
      <right style="medium">
        <color theme="0"/>
      </right>
      <top style="medium">
        <color theme="5"/>
      </top>
      <bottom style="medium">
        <color theme="3"/>
      </bottom>
      <diagonal/>
    </border>
    <border>
      <left style="medium">
        <color theme="0"/>
      </left>
      <right style="medium">
        <color theme="0"/>
      </right>
      <top style="medium">
        <color theme="0"/>
      </top>
      <bottom style="medium">
        <color theme="5" tint="-0.24994659260841701"/>
      </bottom>
      <diagonal/>
    </border>
    <border>
      <left style="thin">
        <color theme="0"/>
      </left>
      <right style="thin">
        <color theme="0"/>
      </right>
      <top style="thin">
        <color theme="0"/>
      </top>
      <bottom style="medium">
        <color theme="5" tint="-0.24994659260841701"/>
      </bottom>
      <diagonal/>
    </border>
    <border>
      <left style="medium">
        <color theme="0"/>
      </left>
      <right style="medium">
        <color theme="0"/>
      </right>
      <top/>
      <bottom style="medium">
        <color theme="3"/>
      </bottom>
      <diagonal/>
    </border>
    <border>
      <left style="medium">
        <color theme="0"/>
      </left>
      <right style="medium">
        <color theme="0"/>
      </right>
      <top/>
      <bottom style="thin">
        <color theme="0"/>
      </bottom>
      <diagonal/>
    </border>
    <border>
      <left/>
      <right style="medium">
        <color theme="0"/>
      </right>
      <top style="medium">
        <color theme="5"/>
      </top>
      <bottom style="medium">
        <color theme="3"/>
      </bottom>
      <diagonal/>
    </border>
    <border>
      <left style="medium">
        <color theme="0"/>
      </left>
      <right/>
      <top style="thin">
        <color theme="0"/>
      </top>
      <bottom style="medium">
        <color theme="3"/>
      </bottom>
      <diagonal/>
    </border>
    <border>
      <left style="medium">
        <color theme="5" tint="-0.24994659260841701"/>
      </left>
      <right style="medium">
        <color theme="0"/>
      </right>
      <top style="medium">
        <color theme="5" tint="-0.24994659260841701"/>
      </top>
      <bottom style="medium">
        <color theme="3"/>
      </bottom>
      <diagonal/>
    </border>
    <border>
      <left style="medium">
        <color theme="5" tint="-0.24994659260841701"/>
      </left>
      <right style="medium">
        <color theme="0"/>
      </right>
      <top style="medium">
        <color theme="3"/>
      </top>
      <bottom style="thin">
        <color theme="0"/>
      </bottom>
      <diagonal/>
    </border>
    <border>
      <left style="medium">
        <color theme="9" tint="-0.24994659260841701"/>
      </left>
      <right/>
      <top style="medium">
        <color theme="9" tint="-0.24994659260841701"/>
      </top>
      <bottom style="medium">
        <color theme="9" tint="-0.24994659260841701"/>
      </bottom>
      <diagonal/>
    </border>
    <border>
      <left/>
      <right style="medium">
        <color theme="9" tint="-0.24994659260841701"/>
      </right>
      <top style="medium">
        <color theme="9" tint="-0.24994659260841701"/>
      </top>
      <bottom style="medium">
        <color theme="9" tint="-0.24994659260841701"/>
      </bottom>
      <diagonal/>
    </border>
    <border>
      <left/>
      <right style="thin">
        <color theme="0"/>
      </right>
      <top/>
      <bottom style="medium">
        <color rgb="FFFFFFFF"/>
      </bottom>
      <diagonal/>
    </border>
    <border>
      <left style="medium">
        <color rgb="FFFFFFFF"/>
      </left>
      <right style="thin">
        <color theme="0"/>
      </right>
      <top style="medium">
        <color rgb="FFFFFFFF"/>
      </top>
      <bottom style="medium">
        <color rgb="FFFFFFFF"/>
      </bottom>
      <diagonal/>
    </border>
    <border>
      <left style="medium">
        <color rgb="FFFFFFFF"/>
      </left>
      <right style="thin">
        <color theme="0"/>
      </right>
      <top/>
      <bottom style="medium">
        <color rgb="FFFFFFFF"/>
      </bottom>
      <diagonal/>
    </border>
    <border>
      <left/>
      <right style="thin">
        <color theme="0"/>
      </right>
      <top style="medium">
        <color rgb="FFFFFFFF"/>
      </top>
      <bottom style="medium">
        <color rgb="FFFFFFFF"/>
      </bottom>
      <diagonal/>
    </border>
    <border>
      <left style="medium">
        <color rgb="FFFFFFFF"/>
      </left>
      <right style="thin">
        <color theme="0"/>
      </right>
      <top style="medium">
        <color rgb="FFFFFFFF"/>
      </top>
      <bottom/>
      <diagonal/>
    </border>
    <border>
      <left style="medium">
        <color rgb="FFFFFFFF"/>
      </left>
      <right style="thin">
        <color theme="0"/>
      </right>
      <top/>
      <bottom/>
      <diagonal/>
    </border>
    <border>
      <left style="medium">
        <color rgb="FFFFFFFF"/>
      </left>
      <right style="medium">
        <color rgb="FFFFFFFF"/>
      </right>
      <top style="medium">
        <color rgb="FFFFFFFF"/>
      </top>
      <bottom style="thick">
        <color theme="1"/>
      </bottom>
      <diagonal/>
    </border>
    <border>
      <left/>
      <right style="thin">
        <color theme="0"/>
      </right>
      <top/>
      <bottom style="thin">
        <color indexed="64"/>
      </bottom>
      <diagonal/>
    </border>
    <border>
      <left/>
      <right style="medium">
        <color rgb="FFFFFFFF"/>
      </right>
      <top/>
      <bottom/>
      <diagonal/>
    </border>
    <border>
      <left style="medium">
        <color rgb="FFFFFFFF"/>
      </left>
      <right/>
      <top/>
      <bottom/>
      <diagonal/>
    </border>
    <border>
      <left style="thick">
        <color theme="4" tint="-0.24994659260841701"/>
      </left>
      <right style="thick">
        <color theme="4" tint="-0.24994659260841701"/>
      </right>
      <top style="thick">
        <color theme="4" tint="-0.24994659260841701"/>
      </top>
      <bottom style="medium">
        <color theme="3"/>
      </bottom>
      <diagonal/>
    </border>
    <border>
      <left style="thick">
        <color theme="4" tint="-0.24994659260841701"/>
      </left>
      <right style="thick">
        <color theme="4" tint="-0.24994659260841701"/>
      </right>
      <top/>
      <bottom style="thin">
        <color theme="0"/>
      </bottom>
      <diagonal/>
    </border>
    <border>
      <left style="thick">
        <color theme="4" tint="-0.24994659260841701"/>
      </left>
      <right style="thick">
        <color theme="4" tint="-0.24994659260841701"/>
      </right>
      <top style="thin">
        <color theme="0"/>
      </top>
      <bottom style="thick">
        <color theme="4" tint="-0.24994659260841701"/>
      </bottom>
      <diagonal/>
    </border>
    <border>
      <left style="thick">
        <color theme="4" tint="-0.24994659260841701"/>
      </left>
      <right style="thin">
        <color theme="0"/>
      </right>
      <top style="thick">
        <color theme="0"/>
      </top>
      <bottom style="medium">
        <color theme="3"/>
      </bottom>
      <diagonal/>
    </border>
    <border>
      <left style="thin">
        <color theme="0"/>
      </left>
      <right style="medium">
        <color theme="5" tint="-0.24994659260841701"/>
      </right>
      <top style="thick">
        <color theme="0"/>
      </top>
      <bottom style="medium">
        <color theme="3"/>
      </bottom>
      <diagonal/>
    </border>
    <border>
      <left style="medium">
        <color rgb="FFFFFFFF"/>
      </left>
      <right/>
      <top style="thick">
        <color theme="1"/>
      </top>
      <bottom style="medium">
        <color rgb="FFFFFFFF"/>
      </bottom>
      <diagonal/>
    </border>
    <border>
      <left/>
      <right style="medium">
        <color rgb="FFFFFFFF"/>
      </right>
      <top style="thick">
        <color theme="1"/>
      </top>
      <bottom style="medium">
        <color rgb="FFFFFFFF"/>
      </bottom>
      <diagonal/>
    </border>
    <border>
      <left/>
      <right/>
      <top style="medium">
        <color theme="9" tint="-0.24994659260841701"/>
      </top>
      <bottom style="medium">
        <color theme="9" tint="-0.24994659260841701"/>
      </bottom>
      <diagonal/>
    </border>
    <border>
      <left style="medium">
        <color rgb="FFFFFFFF"/>
      </left>
      <right/>
      <top style="medium">
        <color theme="9" tint="-0.24994659260841701"/>
      </top>
      <bottom style="medium">
        <color theme="9" tint="-0.24994659260841701"/>
      </bottom>
      <diagonal/>
    </border>
    <border>
      <left/>
      <right style="medium">
        <color rgb="FFFFFFFF"/>
      </right>
      <top style="medium">
        <color theme="9" tint="-0.24994659260841701"/>
      </top>
      <bottom style="medium">
        <color theme="9" tint="-0.24994659260841701"/>
      </bottom>
      <diagonal/>
    </border>
    <border>
      <left style="thick">
        <color theme="5" tint="-0.24994659260841701"/>
      </left>
      <right style="medium">
        <color theme="0"/>
      </right>
      <top style="thick">
        <color theme="5" tint="-0.24994659260841701"/>
      </top>
      <bottom/>
      <diagonal/>
    </border>
    <border>
      <left style="medium">
        <color theme="0"/>
      </left>
      <right style="thick">
        <color theme="5" tint="-0.24994659260841701"/>
      </right>
      <top style="thick">
        <color theme="5" tint="-0.24994659260841701"/>
      </top>
      <bottom/>
      <diagonal/>
    </border>
    <border>
      <left style="thick">
        <color theme="5" tint="-0.24994659260841701"/>
      </left>
      <right style="medium">
        <color rgb="FFFFFFFF"/>
      </right>
      <top style="medium">
        <color rgb="FFFFFFFF"/>
      </top>
      <bottom style="medium">
        <color rgb="FFFFFFFF"/>
      </bottom>
      <diagonal/>
    </border>
    <border>
      <left style="medium">
        <color rgb="FFFFFFFF"/>
      </left>
      <right style="thick">
        <color theme="5" tint="-0.24994659260841701"/>
      </right>
      <top style="medium">
        <color rgb="FFFFFFFF"/>
      </top>
      <bottom style="medium">
        <color rgb="FFFFFFFF"/>
      </bottom>
      <diagonal/>
    </border>
    <border>
      <left style="thick">
        <color theme="5" tint="-0.24994659260841701"/>
      </left>
      <right style="medium">
        <color rgb="FFFFFFFF"/>
      </right>
      <top style="medium">
        <color rgb="FFFFFFFF"/>
      </top>
      <bottom style="thick">
        <color theme="5" tint="-0.24994659260841701"/>
      </bottom>
      <diagonal/>
    </border>
    <border>
      <left style="medium">
        <color rgb="FFFFFFFF"/>
      </left>
      <right style="thick">
        <color theme="5" tint="-0.24994659260841701"/>
      </right>
      <top style="medium">
        <color rgb="FFFFFFFF"/>
      </top>
      <bottom style="thick">
        <color theme="5" tint="-0.24994659260841701"/>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diagonal/>
    </border>
    <border>
      <left/>
      <right style="thick">
        <color theme="0" tint="-0.499984740745262"/>
      </right>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style="thick">
        <color theme="0" tint="-0.499984740745262"/>
      </left>
      <right/>
      <top/>
      <bottom style="thin">
        <color indexed="64"/>
      </bottom>
      <diagonal/>
    </border>
    <border>
      <left style="medium">
        <color theme="5"/>
      </left>
      <right/>
      <top/>
      <bottom style="thin">
        <color indexed="64"/>
      </bottom>
      <diagonal/>
    </border>
    <border>
      <left style="thin">
        <color indexed="64"/>
      </left>
      <right/>
      <top style="thin">
        <color indexed="64"/>
      </top>
      <bottom style="thin">
        <color auto="1"/>
      </bottom>
      <diagonal/>
    </border>
  </borders>
  <cellStyleXfs count="4">
    <xf numFmtId="0" fontId="0" fillId="0" borderId="0"/>
    <xf numFmtId="0" fontId="24" fillId="0" borderId="0"/>
    <xf numFmtId="0" fontId="39" fillId="0" borderId="0" applyNumberFormat="0" applyFill="0" applyBorder="0" applyAlignment="0" applyProtection="0"/>
    <xf numFmtId="0" fontId="42" fillId="0" borderId="0"/>
  </cellStyleXfs>
  <cellXfs count="1105">
    <xf numFmtId="0" fontId="0" fillId="0" borderId="0" xfId="0"/>
    <xf numFmtId="0" fontId="1" fillId="0" borderId="0" xfId="0" applyFont="1"/>
    <xf numFmtId="0" fontId="0" fillId="0" borderId="0" xfId="0" applyAlignment="1">
      <alignment horizontal="left" indent="1"/>
    </xf>
    <xf numFmtId="0" fontId="0" fillId="0" borderId="0" xfId="0" applyAlignment="1">
      <alignment horizontal="left" indent="2"/>
    </xf>
    <xf numFmtId="0" fontId="1" fillId="0" borderId="0" xfId="0" applyFont="1" applyAlignment="1">
      <alignment horizontal="left" indent="1"/>
    </xf>
    <xf numFmtId="0" fontId="0" fillId="0" borderId="0" xfId="0" applyAlignment="1">
      <alignment horizontal="left" indent="4"/>
    </xf>
    <xf numFmtId="0" fontId="0" fillId="0" borderId="0" xfId="0" applyAlignment="1">
      <alignment horizontal="left" indent="5"/>
    </xf>
    <xf numFmtId="6" fontId="0" fillId="0" borderId="0" xfId="0" applyNumberFormat="1"/>
    <xf numFmtId="14" fontId="0" fillId="0" borderId="0" xfId="0" applyNumberFormat="1"/>
    <xf numFmtId="14" fontId="3" fillId="2" borderId="0" xfId="0" applyNumberFormat="1" applyFont="1" applyFill="1"/>
    <xf numFmtId="6" fontId="3" fillId="2" borderId="0" xfId="0" applyNumberFormat="1" applyFont="1" applyFill="1"/>
    <xf numFmtId="10" fontId="0" fillId="0" borderId="0" xfId="0" applyNumberFormat="1"/>
    <xf numFmtId="10" fontId="3" fillId="2" borderId="0" xfId="0" applyNumberFormat="1" applyFont="1" applyFill="1"/>
    <xf numFmtId="6" fontId="1" fillId="0" borderId="0" xfId="0" applyNumberFormat="1" applyFont="1"/>
    <xf numFmtId="14" fontId="3" fillId="4" borderId="0" xfId="0" applyNumberFormat="1" applyFont="1" applyFill="1"/>
    <xf numFmtId="6" fontId="3" fillId="4" borderId="0" xfId="0" applyNumberFormat="1" applyFont="1" applyFill="1"/>
    <xf numFmtId="6" fontId="3" fillId="2" borderId="0" xfId="0" applyNumberFormat="1" applyFont="1" applyFill="1" applyAlignment="1">
      <alignment horizontal="right"/>
    </xf>
    <xf numFmtId="0" fontId="0" fillId="0" borderId="0" xfId="0" applyAlignment="1">
      <alignment wrapText="1"/>
    </xf>
    <xf numFmtId="0" fontId="1" fillId="0" borderId="0" xfId="0" applyFont="1" applyAlignment="1">
      <alignment horizontal="left" indent="2"/>
    </xf>
    <xf numFmtId="10" fontId="1" fillId="0" borderId="0" xfId="0" applyNumberFormat="1" applyFont="1"/>
    <xf numFmtId="9" fontId="4" fillId="3" borderId="0" xfId="0" applyNumberFormat="1" applyFont="1" applyFill="1"/>
    <xf numFmtId="0" fontId="1" fillId="0" borderId="0" xfId="0" applyFont="1" applyAlignment="1">
      <alignment horizontal="left" indent="4"/>
    </xf>
    <xf numFmtId="0" fontId="0" fillId="5" borderId="0" xfId="0" applyFill="1"/>
    <xf numFmtId="0" fontId="1" fillId="5" borderId="0" xfId="0" applyFont="1" applyFill="1"/>
    <xf numFmtId="0" fontId="0" fillId="5" borderId="0" xfId="0" applyFill="1" applyAlignment="1">
      <alignment horizontal="right"/>
    </xf>
    <xf numFmtId="0" fontId="0" fillId="6" borderId="1" xfId="0" applyFill="1" applyBorder="1" applyAlignment="1">
      <alignment horizontal="centerContinuous" wrapText="1"/>
    </xf>
    <xf numFmtId="0" fontId="0" fillId="6" borderId="1" xfId="0" applyFill="1" applyBorder="1" applyAlignment="1">
      <alignment horizontal="centerContinuous"/>
    </xf>
    <xf numFmtId="0" fontId="0" fillId="6" borderId="1" xfId="0" applyFill="1" applyBorder="1"/>
    <xf numFmtId="0" fontId="1" fillId="0" borderId="0" xfId="0" applyFont="1" applyAlignment="1">
      <alignment horizontal="left" indent="3"/>
    </xf>
    <xf numFmtId="6" fontId="1" fillId="5" borderId="0" xfId="0" applyNumberFormat="1" applyFont="1" applyFill="1"/>
    <xf numFmtId="0" fontId="1" fillId="0" borderId="0" xfId="0" applyFont="1" applyAlignment="1">
      <alignment horizontal="center"/>
    </xf>
    <xf numFmtId="14" fontId="3" fillId="3" borderId="0" xfId="0" applyNumberFormat="1" applyFont="1" applyFill="1"/>
    <xf numFmtId="0" fontId="0" fillId="3" borderId="0" xfId="0" applyFill="1"/>
    <xf numFmtId="0" fontId="1" fillId="3" borderId="0" xfId="0" applyFont="1" applyFill="1"/>
    <xf numFmtId="0" fontId="0" fillId="6" borderId="0" xfId="0" applyFill="1" applyAlignment="1">
      <alignment horizontal="center" wrapText="1"/>
    </xf>
    <xf numFmtId="0" fontId="0" fillId="6" borderId="0" xfId="0" applyFill="1" applyAlignment="1">
      <alignment wrapText="1"/>
    </xf>
    <xf numFmtId="0" fontId="2" fillId="4" borderId="0" xfId="0" applyFont="1" applyFill="1"/>
    <xf numFmtId="8" fontId="0" fillId="0" borderId="0" xfId="0" applyNumberFormat="1"/>
    <xf numFmtId="0" fontId="6" fillId="0" borderId="0" xfId="0" applyFont="1"/>
    <xf numFmtId="0" fontId="8" fillId="0" borderId="0" xfId="0" applyFont="1" applyAlignment="1">
      <alignment horizontal="left" indent="2"/>
    </xf>
    <xf numFmtId="8" fontId="3" fillId="3" borderId="0" xfId="0" applyNumberFormat="1" applyFont="1" applyFill="1"/>
    <xf numFmtId="0" fontId="1" fillId="0" borderId="2" xfId="0" applyFont="1" applyBorder="1" applyAlignment="1">
      <alignment horizontal="left" indent="1"/>
    </xf>
    <xf numFmtId="0" fontId="1" fillId="0" borderId="2" xfId="0" applyFont="1" applyBorder="1"/>
    <xf numFmtId="0" fontId="0" fillId="0" borderId="2" xfId="0" applyBorder="1"/>
    <xf numFmtId="0" fontId="0" fillId="0" borderId="1" xfId="0" applyBorder="1"/>
    <xf numFmtId="0" fontId="1" fillId="0" borderId="1" xfId="0" applyFont="1" applyBorder="1"/>
    <xf numFmtId="0" fontId="1" fillId="0" borderId="1" xfId="0" applyFont="1" applyBorder="1" applyAlignment="1">
      <alignment horizontal="left" indent="1"/>
    </xf>
    <xf numFmtId="6" fontId="0" fillId="0" borderId="4" xfId="0" applyNumberFormat="1" applyBorder="1"/>
    <xf numFmtId="0" fontId="1" fillId="0" borderId="0" xfId="0" applyFont="1" applyAlignment="1">
      <alignment horizontal="centerContinuous"/>
    </xf>
    <xf numFmtId="0" fontId="1" fillId="0" borderId="1" xfId="0" applyFont="1" applyBorder="1" applyAlignment="1">
      <alignment horizontal="center"/>
    </xf>
    <xf numFmtId="165" fontId="1" fillId="0" borderId="0" xfId="0" applyNumberFormat="1" applyFont="1"/>
    <xf numFmtId="0" fontId="0" fillId="0" borderId="6" xfId="0" applyBorder="1"/>
    <xf numFmtId="6" fontId="0" fillId="3" borderId="0" xfId="0" applyNumberFormat="1" applyFill="1"/>
    <xf numFmtId="6" fontId="4" fillId="3" borderId="0" xfId="0" applyNumberFormat="1" applyFont="1" applyFill="1"/>
    <xf numFmtId="0" fontId="1" fillId="7" borderId="2" xfId="0" applyFont="1" applyFill="1" applyBorder="1" applyAlignment="1">
      <alignment horizontal="left" indent="1"/>
    </xf>
    <xf numFmtId="0" fontId="1" fillId="7" borderId="2" xfId="0" applyFont="1" applyFill="1" applyBorder="1"/>
    <xf numFmtId="6" fontId="1" fillId="7" borderId="2" xfId="0" applyNumberFormat="1" applyFont="1" applyFill="1" applyBorder="1"/>
    <xf numFmtId="0" fontId="1" fillId="7" borderId="1" xfId="0" applyFont="1" applyFill="1" applyBorder="1"/>
    <xf numFmtId="37" fontId="0" fillId="0" borderId="4" xfId="0" applyNumberFormat="1" applyBorder="1"/>
    <xf numFmtId="37" fontId="0" fillId="0" borderId="0" xfId="0" applyNumberFormat="1"/>
    <xf numFmtId="37" fontId="1" fillId="0" borderId="0" xfId="0" applyNumberFormat="1" applyFont="1"/>
    <xf numFmtId="37" fontId="1" fillId="0" borderId="1" xfId="0" applyNumberFormat="1" applyFont="1" applyBorder="1"/>
    <xf numFmtId="37" fontId="1" fillId="0" borderId="5" xfId="0" applyNumberFormat="1" applyFont="1" applyBorder="1"/>
    <xf numFmtId="5" fontId="1" fillId="0" borderId="2" xfId="0" applyNumberFormat="1" applyFont="1" applyBorder="1"/>
    <xf numFmtId="5" fontId="1" fillId="0" borderId="3" xfId="0" applyNumberFormat="1" applyFont="1" applyBorder="1"/>
    <xf numFmtId="5" fontId="1" fillId="7" borderId="1" xfId="0" applyNumberFormat="1" applyFont="1" applyFill="1" applyBorder="1"/>
    <xf numFmtId="5" fontId="1" fillId="7" borderId="5" xfId="0" applyNumberFormat="1" applyFont="1" applyFill="1" applyBorder="1"/>
    <xf numFmtId="37" fontId="4" fillId="3" borderId="0" xfId="0" applyNumberFormat="1" applyFont="1" applyFill="1"/>
    <xf numFmtId="37" fontId="4" fillId="3" borderId="4" xfId="0" applyNumberFormat="1" applyFont="1" applyFill="1" applyBorder="1"/>
    <xf numFmtId="37" fontId="3" fillId="3" borderId="0" xfId="0" applyNumberFormat="1" applyFont="1" applyFill="1"/>
    <xf numFmtId="37" fontId="3" fillId="0" borderId="0" xfId="0" applyNumberFormat="1" applyFont="1"/>
    <xf numFmtId="5" fontId="1" fillId="7" borderId="2" xfId="0" applyNumberFormat="1" applyFont="1" applyFill="1" applyBorder="1"/>
    <xf numFmtId="0" fontId="7" fillId="0" borderId="1" xfId="0" applyFont="1" applyBorder="1"/>
    <xf numFmtId="7" fontId="0" fillId="0" borderId="0" xfId="0" applyNumberFormat="1"/>
    <xf numFmtId="0" fontId="7" fillId="0" borderId="1" xfId="0" applyFont="1" applyBorder="1" applyAlignment="1">
      <alignment horizontal="center"/>
    </xf>
    <xf numFmtId="0" fontId="12" fillId="0" borderId="0" xfId="0" applyFont="1"/>
    <xf numFmtId="0" fontId="13" fillId="0" borderId="0" xfId="0" applyFont="1" applyAlignment="1">
      <alignment horizontal="left" vertical="center" wrapText="1"/>
    </xf>
    <xf numFmtId="0" fontId="14" fillId="0" borderId="1" xfId="0" applyFont="1" applyBorder="1"/>
    <xf numFmtId="0" fontId="14" fillId="0" borderId="1" xfId="0" applyFont="1" applyBorder="1" applyAlignment="1">
      <alignment horizontal="center"/>
    </xf>
    <xf numFmtId="0" fontId="14" fillId="0" borderId="0" xfId="0" applyFont="1"/>
    <xf numFmtId="0" fontId="12" fillId="0" borderId="0" xfId="0" applyFont="1" applyAlignment="1">
      <alignment horizontal="center"/>
    </xf>
    <xf numFmtId="6" fontId="12" fillId="0" borderId="0" xfId="0" applyNumberFormat="1" applyFont="1"/>
    <xf numFmtId="6" fontId="12" fillId="0" borderId="0" xfId="0" applyNumberFormat="1" applyFont="1" applyAlignment="1">
      <alignment horizontal="center" wrapText="1"/>
    </xf>
    <xf numFmtId="10" fontId="12" fillId="0" borderId="0" xfId="0" applyNumberFormat="1" applyFont="1"/>
    <xf numFmtId="0" fontId="15" fillId="0" borderId="0" xfId="0" applyFont="1"/>
    <xf numFmtId="0" fontId="16" fillId="0" borderId="0" xfId="0" applyFont="1"/>
    <xf numFmtId="0" fontId="17" fillId="8" borderId="0" xfId="0" applyFont="1" applyFill="1"/>
    <xf numFmtId="5" fontId="17" fillId="8" borderId="0" xfId="0" applyNumberFormat="1" applyFont="1" applyFill="1"/>
    <xf numFmtId="0" fontId="16" fillId="8" borderId="0" xfId="0" applyFont="1" applyFill="1"/>
    <xf numFmtId="5" fontId="16" fillId="0" borderId="0" xfId="0" applyNumberFormat="1" applyFont="1"/>
    <xf numFmtId="0" fontId="17" fillId="9" borderId="0" xfId="0" applyFont="1" applyFill="1"/>
    <xf numFmtId="0" fontId="16" fillId="9" borderId="0" xfId="0" applyFont="1" applyFill="1"/>
    <xf numFmtId="0" fontId="18" fillId="0" borderId="1" xfId="0" applyFont="1" applyBorder="1"/>
    <xf numFmtId="0" fontId="19" fillId="0" borderId="0" xfId="0" applyFont="1"/>
    <xf numFmtId="0" fontId="16" fillId="0" borderId="0" xfId="0" applyFont="1" applyAlignment="1">
      <alignment horizontal="center"/>
    </xf>
    <xf numFmtId="0" fontId="17" fillId="0" borderId="0" xfId="0" applyFont="1" applyAlignment="1">
      <alignment horizontal="center"/>
    </xf>
    <xf numFmtId="0" fontId="16" fillId="0" borderId="1" xfId="0" applyFont="1" applyBorder="1"/>
    <xf numFmtId="0" fontId="16" fillId="0" borderId="1" xfId="0" applyFont="1" applyBorder="1" applyAlignment="1">
      <alignment horizontal="center"/>
    </xf>
    <xf numFmtId="6" fontId="16" fillId="0" borderId="0" xfId="0" applyNumberFormat="1" applyFont="1"/>
    <xf numFmtId="5" fontId="22" fillId="0" borderId="1" xfId="0" applyNumberFormat="1" applyFont="1" applyBorder="1"/>
    <xf numFmtId="5" fontId="23" fillId="0" borderId="1" xfId="0" applyNumberFormat="1" applyFont="1" applyBorder="1"/>
    <xf numFmtId="166" fontId="16" fillId="2" borderId="7" xfId="0" applyNumberFormat="1" applyFont="1" applyFill="1" applyBorder="1"/>
    <xf numFmtId="166" fontId="16" fillId="2" borderId="8" xfId="0" applyNumberFormat="1" applyFont="1" applyFill="1" applyBorder="1"/>
    <xf numFmtId="166" fontId="16" fillId="2" borderId="9" xfId="0" applyNumberFormat="1" applyFont="1" applyFill="1" applyBorder="1"/>
    <xf numFmtId="0" fontId="17" fillId="11" borderId="1" xfId="0" applyFont="1" applyFill="1" applyBorder="1"/>
    <xf numFmtId="0" fontId="16" fillId="11" borderId="1" xfId="0" applyFont="1" applyFill="1" applyBorder="1"/>
    <xf numFmtId="5" fontId="23" fillId="0" borderId="0" xfId="0" applyNumberFormat="1" applyFont="1" applyAlignment="1">
      <alignment horizontal="center"/>
    </xf>
    <xf numFmtId="5" fontId="16" fillId="0" borderId="1" xfId="0" applyNumberFormat="1" applyFont="1" applyBorder="1" applyAlignment="1">
      <alignment horizontal="center"/>
    </xf>
    <xf numFmtId="6" fontId="16" fillId="0" borderId="1" xfId="0" applyNumberFormat="1" applyFont="1" applyBorder="1" applyAlignment="1">
      <alignment horizontal="center"/>
    </xf>
    <xf numFmtId="0" fontId="16" fillId="0" borderId="2" xfId="0" applyFont="1" applyBorder="1"/>
    <xf numFmtId="6" fontId="16" fillId="0" borderId="2" xfId="0" applyNumberFormat="1" applyFont="1" applyBorder="1" applyAlignment="1">
      <alignment horizontal="center"/>
    </xf>
    <xf numFmtId="0" fontId="16" fillId="0" borderId="2" xfId="0" applyFont="1" applyBorder="1" applyAlignment="1">
      <alignment horizontal="center"/>
    </xf>
    <xf numFmtId="5" fontId="0" fillId="0" borderId="2" xfId="0" applyNumberFormat="1" applyBorder="1" applyAlignment="1">
      <alignment horizontal="center"/>
    </xf>
    <xf numFmtId="0" fontId="0" fillId="0" borderId="2" xfId="0" applyBorder="1" applyAlignment="1">
      <alignment horizontal="center"/>
    </xf>
    <xf numFmtId="5" fontId="16" fillId="0" borderId="2" xfId="0" applyNumberFormat="1" applyFont="1" applyBorder="1" applyAlignment="1">
      <alignment horizontal="center"/>
    </xf>
    <xf numFmtId="0" fontId="16" fillId="0" borderId="6" xfId="0" applyFont="1" applyBorder="1"/>
    <xf numFmtId="6" fontId="16" fillId="0" borderId="6" xfId="0" applyNumberFormat="1" applyFont="1" applyBorder="1" applyAlignment="1">
      <alignment horizontal="center"/>
    </xf>
    <xf numFmtId="0" fontId="16" fillId="0" borderId="6" xfId="0" applyFont="1" applyBorder="1" applyAlignment="1">
      <alignment horizontal="center"/>
    </xf>
    <xf numFmtId="5" fontId="0" fillId="0" borderId="6" xfId="0" applyNumberFormat="1" applyBorder="1" applyAlignment="1">
      <alignment horizontal="center"/>
    </xf>
    <xf numFmtId="5" fontId="16" fillId="0" borderId="6" xfId="0" applyNumberFormat="1" applyFont="1" applyBorder="1" applyAlignment="1">
      <alignment horizontal="center"/>
    </xf>
    <xf numFmtId="10" fontId="16" fillId="0" borderId="0" xfId="0" applyNumberFormat="1" applyFont="1" applyAlignment="1">
      <alignment horizontal="center"/>
    </xf>
    <xf numFmtId="7" fontId="12" fillId="0" borderId="0" xfId="0" applyNumberFormat="1" applyFont="1"/>
    <xf numFmtId="0" fontId="12" fillId="0" borderId="0" xfId="0" applyFont="1" applyAlignment="1">
      <alignment horizontal="right"/>
    </xf>
    <xf numFmtId="0" fontId="25" fillId="0" borderId="1" xfId="0" applyFont="1" applyBorder="1"/>
    <xf numFmtId="5" fontId="17" fillId="8" borderId="11" xfId="0" applyNumberFormat="1" applyFont="1" applyFill="1" applyBorder="1"/>
    <xf numFmtId="5" fontId="17" fillId="9" borderId="11" xfId="0" applyNumberFormat="1" applyFont="1" applyFill="1" applyBorder="1"/>
    <xf numFmtId="0" fontId="26" fillId="0" borderId="0" xfId="0" applyFont="1"/>
    <xf numFmtId="0" fontId="27" fillId="0" borderId="0" xfId="0" applyFont="1"/>
    <xf numFmtId="0" fontId="14" fillId="0" borderId="0" xfId="0" applyFont="1" applyAlignment="1">
      <alignment horizontal="right"/>
    </xf>
    <xf numFmtId="0" fontId="14" fillId="0" borderId="0" xfId="0" applyFont="1" applyAlignment="1">
      <alignment horizontal="right" wrapText="1"/>
    </xf>
    <xf numFmtId="0" fontId="29" fillId="0" borderId="0" xfId="0" applyFont="1"/>
    <xf numFmtId="0" fontId="30" fillId="12" borderId="1" xfId="0" applyFont="1" applyFill="1" applyBorder="1"/>
    <xf numFmtId="0" fontId="31" fillId="12" borderId="0" xfId="0" applyFont="1" applyFill="1"/>
    <xf numFmtId="0" fontId="32" fillId="12" borderId="0" xfId="0" applyFont="1" applyFill="1"/>
    <xf numFmtId="0" fontId="12" fillId="0" borderId="12" xfId="0" applyFont="1" applyBorder="1"/>
    <xf numFmtId="0" fontId="12" fillId="0" borderId="13" xfId="0" applyFont="1" applyBorder="1"/>
    <xf numFmtId="0" fontId="12" fillId="0" borderId="14" xfId="0" applyFont="1" applyBorder="1"/>
    <xf numFmtId="0" fontId="25" fillId="0" borderId="15" xfId="0" applyFont="1" applyBorder="1"/>
    <xf numFmtId="0" fontId="12" fillId="0" borderId="16" xfId="0" applyFont="1" applyBorder="1"/>
    <xf numFmtId="0" fontId="17" fillId="0" borderId="17" xfId="0" applyFont="1" applyBorder="1"/>
    <xf numFmtId="0" fontId="17" fillId="0" borderId="0" xfId="0" applyFont="1"/>
    <xf numFmtId="0" fontId="16" fillId="0" borderId="16" xfId="0" applyFont="1" applyBorder="1"/>
    <xf numFmtId="0" fontId="16" fillId="0" borderId="15" xfId="0" applyFont="1" applyBorder="1"/>
    <xf numFmtId="10" fontId="16" fillId="0" borderId="0" xfId="0" applyNumberFormat="1" applyFont="1"/>
    <xf numFmtId="166" fontId="16" fillId="10" borderId="17" xfId="0" applyNumberFormat="1" applyFont="1" applyFill="1" applyBorder="1"/>
    <xf numFmtId="5" fontId="22" fillId="0" borderId="0" xfId="0" applyNumberFormat="1" applyFont="1"/>
    <xf numFmtId="0" fontId="22" fillId="11" borderId="0" xfId="0" applyFont="1" applyFill="1"/>
    <xf numFmtId="6" fontId="16" fillId="11" borderId="0" xfId="0" applyNumberFormat="1" applyFont="1" applyFill="1"/>
    <xf numFmtId="0" fontId="16" fillId="11" borderId="0" xfId="0" applyFont="1" applyFill="1"/>
    <xf numFmtId="166" fontId="16" fillId="10" borderId="15" xfId="0" applyNumberFormat="1" applyFont="1" applyFill="1" applyBorder="1"/>
    <xf numFmtId="1" fontId="16" fillId="0" borderId="17" xfId="0" applyNumberFormat="1" applyFont="1" applyBorder="1"/>
    <xf numFmtId="1" fontId="16" fillId="0" borderId="0" xfId="0" applyNumberFormat="1" applyFont="1"/>
    <xf numFmtId="9" fontId="16" fillId="0" borderId="0" xfId="0" applyNumberFormat="1" applyFont="1" applyAlignment="1">
      <alignment horizontal="center"/>
    </xf>
    <xf numFmtId="0" fontId="16" fillId="0" borderId="17" xfId="0" applyFont="1" applyBorder="1"/>
    <xf numFmtId="0" fontId="12" fillId="0" borderId="17" xfId="0" applyFont="1" applyBorder="1"/>
    <xf numFmtId="0" fontId="21" fillId="0" borderId="0" xfId="0" applyFont="1"/>
    <xf numFmtId="0" fontId="29" fillId="0" borderId="17" xfId="0" applyFont="1" applyBorder="1"/>
    <xf numFmtId="0" fontId="12" fillId="0" borderId="18" xfId="0" applyFont="1" applyBorder="1"/>
    <xf numFmtId="0" fontId="12" fillId="0" borderId="19" xfId="0" applyFont="1" applyBorder="1"/>
    <xf numFmtId="6" fontId="12" fillId="0" borderId="19" xfId="0" applyNumberFormat="1" applyFont="1" applyBorder="1" applyAlignment="1">
      <alignment horizontal="center" wrapText="1"/>
    </xf>
    <xf numFmtId="0" fontId="12" fillId="0" borderId="20" xfId="0" applyFont="1" applyBorder="1"/>
    <xf numFmtId="37" fontId="0" fillId="0" borderId="1" xfId="0" applyNumberFormat="1" applyBorder="1"/>
    <xf numFmtId="37" fontId="0" fillId="0" borderId="6" xfId="0" applyNumberFormat="1" applyBorder="1"/>
    <xf numFmtId="0" fontId="33" fillId="0" borderId="0" xfId="0" applyFont="1"/>
    <xf numFmtId="0" fontId="25" fillId="0" borderId="0" xfId="0" applyFont="1"/>
    <xf numFmtId="0" fontId="35" fillId="0" borderId="0" xfId="0" applyFont="1"/>
    <xf numFmtId="0" fontId="35" fillId="3" borderId="0" xfId="0" applyFont="1" applyFill="1"/>
    <xf numFmtId="0" fontId="3" fillId="2" borderId="0" xfId="0" applyFont="1" applyFill="1"/>
    <xf numFmtId="10" fontId="5" fillId="2" borderId="0" xfId="0" applyNumberFormat="1" applyFont="1" applyFill="1" applyAlignment="1">
      <alignment horizontal="center"/>
    </xf>
    <xf numFmtId="0" fontId="0" fillId="2" borderId="0" xfId="0" applyFill="1"/>
    <xf numFmtId="9" fontId="0" fillId="0" borderId="0" xfId="0" applyNumberFormat="1"/>
    <xf numFmtId="0" fontId="0" fillId="0" borderId="0" xfId="0" applyAlignment="1">
      <alignment horizontal="center"/>
    </xf>
    <xf numFmtId="6" fontId="9" fillId="2" borderId="0" xfId="0" applyNumberFormat="1" applyFont="1" applyFill="1"/>
    <xf numFmtId="0" fontId="1" fillId="0" borderId="1" xfId="0" applyFont="1" applyBorder="1" applyAlignment="1">
      <alignment horizontal="centerContinuous"/>
    </xf>
    <xf numFmtId="0" fontId="36" fillId="0" borderId="0" xfId="0" applyFont="1"/>
    <xf numFmtId="0" fontId="18" fillId="0" borderId="0" xfId="0" applyFont="1"/>
    <xf numFmtId="0" fontId="1" fillId="0" borderId="3" xfId="0" applyFont="1" applyBorder="1" applyAlignment="1">
      <alignment horizontal="center" wrapText="1"/>
    </xf>
    <xf numFmtId="0" fontId="1" fillId="0" borderId="21" xfId="0" applyFont="1" applyBorder="1" applyAlignment="1">
      <alignment horizontal="centerContinuous"/>
    </xf>
    <xf numFmtId="5" fontId="1" fillId="0" borderId="21" xfId="0" applyNumberFormat="1" applyFont="1" applyBorder="1"/>
    <xf numFmtId="37" fontId="3" fillId="0" borderId="23" xfId="0" applyNumberFormat="1" applyFont="1" applyBorder="1"/>
    <xf numFmtId="6" fontId="1" fillId="7" borderId="21" xfId="0" applyNumberFormat="1" applyFont="1" applyFill="1" applyBorder="1"/>
    <xf numFmtId="5" fontId="5" fillId="0" borderId="21" xfId="0" applyNumberFormat="1" applyFont="1" applyBorder="1"/>
    <xf numFmtId="37" fontId="9" fillId="0" borderId="23" xfId="0" applyNumberFormat="1" applyFont="1" applyBorder="1"/>
    <xf numFmtId="37" fontId="0" fillId="0" borderId="23" xfId="0" applyNumberFormat="1" applyBorder="1"/>
    <xf numFmtId="37" fontId="0" fillId="0" borderId="22" xfId="0" applyNumberFormat="1" applyBorder="1"/>
    <xf numFmtId="37" fontId="0" fillId="0" borderId="24" xfId="0" applyNumberFormat="1" applyBorder="1"/>
    <xf numFmtId="37" fontId="3" fillId="3" borderId="23" xfId="0" applyNumberFormat="1" applyFont="1" applyFill="1" applyBorder="1"/>
    <xf numFmtId="37" fontId="1" fillId="0" borderId="22" xfId="0" applyNumberFormat="1" applyFont="1" applyBorder="1"/>
    <xf numFmtId="5" fontId="1" fillId="7" borderId="22" xfId="0" applyNumberFormat="1" applyFont="1" applyFill="1" applyBorder="1"/>
    <xf numFmtId="5" fontId="1" fillId="7" borderId="21" xfId="0" applyNumberFormat="1" applyFont="1" applyFill="1" applyBorder="1"/>
    <xf numFmtId="0" fontId="13" fillId="0" borderId="0" xfId="0" applyFont="1" applyAlignment="1">
      <alignment horizontal="centerContinuous"/>
    </xf>
    <xf numFmtId="0" fontId="26" fillId="0" borderId="0" xfId="0" applyFont="1" applyAlignment="1">
      <alignment horizontal="centerContinuous"/>
    </xf>
    <xf numFmtId="0" fontId="12" fillId="0" borderId="0" xfId="0" applyFont="1" applyAlignment="1">
      <alignment horizontal="centerContinuous"/>
    </xf>
    <xf numFmtId="0" fontId="35" fillId="0" borderId="0" xfId="0" applyFont="1" applyAlignment="1">
      <alignment horizontal="centerContinuous"/>
    </xf>
    <xf numFmtId="5" fontId="17" fillId="8" borderId="25" xfId="0" applyNumberFormat="1" applyFont="1" applyFill="1" applyBorder="1"/>
    <xf numFmtId="0" fontId="37" fillId="13" borderId="26" xfId="0" applyFont="1" applyFill="1" applyBorder="1" applyAlignment="1">
      <alignment horizontal="centerContinuous"/>
    </xf>
    <xf numFmtId="0" fontId="37" fillId="13" borderId="27" xfId="0" applyFont="1" applyFill="1" applyBorder="1" applyAlignment="1">
      <alignment horizontal="centerContinuous"/>
    </xf>
    <xf numFmtId="0" fontId="37" fillId="13" borderId="28" xfId="0" applyFont="1" applyFill="1" applyBorder="1" applyAlignment="1">
      <alignment horizontal="centerContinuous"/>
    </xf>
    <xf numFmtId="0" fontId="37" fillId="13" borderId="29" xfId="0" applyFont="1" applyFill="1" applyBorder="1" applyAlignment="1">
      <alignment horizontal="centerContinuous"/>
    </xf>
    <xf numFmtId="0" fontId="37" fillId="13" borderId="31" xfId="0" applyFont="1" applyFill="1" applyBorder="1" applyAlignment="1">
      <alignment horizontal="centerContinuous"/>
    </xf>
    <xf numFmtId="0" fontId="37" fillId="13" borderId="32" xfId="0" applyFont="1" applyFill="1" applyBorder="1" applyAlignment="1">
      <alignment horizontal="centerContinuous"/>
    </xf>
    <xf numFmtId="17" fontId="1" fillId="0" borderId="22" xfId="0" applyNumberFormat="1" applyFont="1" applyBorder="1" applyAlignment="1">
      <alignment horizontal="center"/>
    </xf>
    <xf numFmtId="167" fontId="38" fillId="13" borderId="30" xfId="0" applyNumberFormat="1" applyFont="1" applyFill="1" applyBorder="1" applyAlignment="1">
      <alignment horizontal="center"/>
    </xf>
    <xf numFmtId="167" fontId="38" fillId="13" borderId="0" xfId="0" applyNumberFormat="1" applyFont="1" applyFill="1" applyAlignment="1">
      <alignment horizontal="center"/>
    </xf>
    <xf numFmtId="167" fontId="38" fillId="13" borderId="31" xfId="0" applyNumberFormat="1" applyFont="1" applyFill="1" applyBorder="1" applyAlignment="1">
      <alignment horizontal="center"/>
    </xf>
    <xf numFmtId="8" fontId="16" fillId="0" borderId="0" xfId="0" applyNumberFormat="1" applyFont="1"/>
    <xf numFmtId="8" fontId="12" fillId="0" borderId="0" xfId="0" applyNumberFormat="1" applyFont="1"/>
    <xf numFmtId="10" fontId="22" fillId="2" borderId="0" xfId="0" applyNumberFormat="1" applyFont="1" applyFill="1" applyAlignment="1">
      <alignment horizontal="center"/>
    </xf>
    <xf numFmtId="0" fontId="40" fillId="0" borderId="0" xfId="0" applyFont="1"/>
    <xf numFmtId="0" fontId="12" fillId="0" borderId="0" xfId="0" applyFont="1" applyAlignment="1">
      <alignment horizontal="left" indent="1"/>
    </xf>
    <xf numFmtId="14" fontId="12" fillId="0" borderId="0" xfId="0" applyNumberFormat="1" applyFont="1"/>
    <xf numFmtId="9" fontId="12" fillId="0" borderId="0" xfId="0" applyNumberFormat="1" applyFont="1"/>
    <xf numFmtId="14" fontId="12" fillId="0" borderId="0" xfId="0" applyNumberFormat="1" applyFont="1" applyAlignment="1">
      <alignment horizontal="center"/>
    </xf>
    <xf numFmtId="6" fontId="39" fillId="0" borderId="0" xfId="2" applyNumberFormat="1"/>
    <xf numFmtId="165" fontId="12" fillId="0" borderId="0" xfId="0" applyNumberFormat="1" applyFont="1" applyAlignment="1">
      <alignment horizontal="center"/>
    </xf>
    <xf numFmtId="165" fontId="12" fillId="11" borderId="0" xfId="0" applyNumberFormat="1" applyFont="1" applyFill="1" applyAlignment="1">
      <alignment horizontal="center"/>
    </xf>
    <xf numFmtId="165" fontId="12" fillId="2" borderId="0" xfId="0" applyNumberFormat="1" applyFont="1" applyFill="1" applyAlignment="1">
      <alignment horizontal="center"/>
    </xf>
    <xf numFmtId="0" fontId="12" fillId="12" borderId="0" xfId="0" applyFont="1" applyFill="1"/>
    <xf numFmtId="0" fontId="41" fillId="12" borderId="0" xfId="0" applyFont="1" applyFill="1" applyAlignment="1">
      <alignment horizontal="center"/>
    </xf>
    <xf numFmtId="0" fontId="42" fillId="0" borderId="0" xfId="3"/>
    <xf numFmtId="8" fontId="42" fillId="0" borderId="0" xfId="3" applyNumberFormat="1"/>
    <xf numFmtId="10" fontId="42" fillId="0" borderId="0" xfId="3" applyNumberFormat="1"/>
    <xf numFmtId="0" fontId="42" fillId="0" borderId="0" xfId="3" applyAlignment="1">
      <alignment wrapText="1"/>
    </xf>
    <xf numFmtId="0" fontId="42" fillId="2" borderId="0" xfId="3" applyFill="1"/>
    <xf numFmtId="11" fontId="42" fillId="2" borderId="0" xfId="3" applyNumberFormat="1" applyFill="1"/>
    <xf numFmtId="8" fontId="42" fillId="2" borderId="0" xfId="3" applyNumberFormat="1" applyFill="1"/>
    <xf numFmtId="10" fontId="42" fillId="2" borderId="0" xfId="3" applyNumberFormat="1" applyFill="1"/>
    <xf numFmtId="3" fontId="6" fillId="0" borderId="0" xfId="0" applyNumberFormat="1" applyFont="1"/>
    <xf numFmtId="0" fontId="43" fillId="0" borderId="0" xfId="0" applyFont="1"/>
    <xf numFmtId="0" fontId="43" fillId="0" borderId="33" xfId="0" applyFont="1" applyBorder="1"/>
    <xf numFmtId="5" fontId="43" fillId="3" borderId="33" xfId="0" applyNumberFormat="1" applyFont="1" applyFill="1" applyBorder="1" applyAlignment="1">
      <alignment horizontal="left" vertical="center" wrapText="1" indent="1"/>
    </xf>
    <xf numFmtId="0" fontId="43" fillId="0" borderId="34" xfId="0" applyFont="1" applyBorder="1"/>
    <xf numFmtId="0" fontId="43" fillId="0" borderId="33" xfId="0" applyFont="1" applyBorder="1" applyAlignment="1">
      <alignment vertical="center"/>
    </xf>
    <xf numFmtId="0" fontId="46" fillId="17" borderId="33" xfId="0" applyFont="1" applyFill="1" applyBorder="1" applyAlignment="1">
      <alignment horizontal="left" vertical="center" indent="1"/>
    </xf>
    <xf numFmtId="0" fontId="47" fillId="17" borderId="33" xfId="0" applyFont="1" applyFill="1" applyBorder="1" applyAlignment="1">
      <alignment horizontal="left" wrapText="1"/>
    </xf>
    <xf numFmtId="0" fontId="43" fillId="0" borderId="0" xfId="0" applyFont="1" applyAlignment="1">
      <alignment wrapText="1"/>
    </xf>
    <xf numFmtId="0" fontId="46" fillId="16" borderId="33" xfId="0" applyFont="1" applyFill="1" applyBorder="1" applyAlignment="1">
      <alignment horizontal="left" vertical="center" wrapText="1" indent="1"/>
    </xf>
    <xf numFmtId="0" fontId="44" fillId="20" borderId="40" xfId="0" applyFont="1" applyFill="1" applyBorder="1" applyAlignment="1">
      <alignment horizontal="left" vertical="center" wrapText="1" indent="1"/>
    </xf>
    <xf numFmtId="9" fontId="44" fillId="20" borderId="35" xfId="0" applyNumberFormat="1" applyFont="1" applyFill="1" applyBorder="1" applyAlignment="1">
      <alignment horizontal="left" vertical="center" wrapText="1" indent="1"/>
    </xf>
    <xf numFmtId="9" fontId="46" fillId="17" borderId="33" xfId="0" applyNumberFormat="1" applyFont="1" applyFill="1" applyBorder="1" applyAlignment="1">
      <alignment horizontal="left" vertical="center" wrapText="1" indent="1"/>
    </xf>
    <xf numFmtId="9" fontId="44" fillId="20" borderId="37" xfId="0" applyNumberFormat="1" applyFont="1" applyFill="1" applyBorder="1" applyAlignment="1">
      <alignment horizontal="left" vertical="center" wrapText="1" indent="1"/>
    </xf>
    <xf numFmtId="5" fontId="43" fillId="3" borderId="34" xfId="0" applyNumberFormat="1" applyFont="1" applyFill="1" applyBorder="1" applyAlignment="1">
      <alignment horizontal="left" vertical="center" wrapText="1" indent="1"/>
    </xf>
    <xf numFmtId="169" fontId="48" fillId="9" borderId="36" xfId="0" applyNumberFormat="1" applyFont="1" applyFill="1" applyBorder="1" applyAlignment="1">
      <alignment horizontal="left" vertical="center" wrapText="1" indent="1"/>
    </xf>
    <xf numFmtId="0" fontId="44" fillId="20" borderId="40" xfId="0" applyFont="1" applyFill="1" applyBorder="1" applyAlignment="1">
      <alignment horizontal="centerContinuous" vertical="center" wrapText="1"/>
    </xf>
    <xf numFmtId="169" fontId="48" fillId="9" borderId="43" xfId="0" applyNumberFormat="1" applyFont="1" applyFill="1" applyBorder="1" applyAlignment="1">
      <alignment horizontal="left" vertical="center" wrapText="1" indent="1"/>
    </xf>
    <xf numFmtId="169" fontId="48" fillId="9" borderId="44" xfId="0" applyNumberFormat="1" applyFont="1" applyFill="1" applyBorder="1" applyAlignment="1">
      <alignment horizontal="left" vertical="center" wrapText="1" indent="1"/>
    </xf>
    <xf numFmtId="0" fontId="44" fillId="20" borderId="41" xfId="0" applyFont="1" applyFill="1" applyBorder="1" applyAlignment="1">
      <alignment horizontal="centerContinuous" vertical="center" wrapText="1"/>
    </xf>
    <xf numFmtId="0" fontId="43" fillId="3" borderId="0" xfId="0" applyFont="1" applyFill="1"/>
    <xf numFmtId="0" fontId="48" fillId="3" borderId="38" xfId="0" applyFont="1" applyFill="1" applyBorder="1" applyAlignment="1">
      <alignment horizontal="centerContinuous" vertical="center" wrapText="1"/>
    </xf>
    <xf numFmtId="169" fontId="46" fillId="21" borderId="45" xfId="0" applyNumberFormat="1" applyFont="1" applyFill="1" applyBorder="1" applyAlignment="1">
      <alignment horizontal="left" vertical="center" indent="1"/>
    </xf>
    <xf numFmtId="9" fontId="43" fillId="0" borderId="0" xfId="0" applyNumberFormat="1" applyFont="1"/>
    <xf numFmtId="10" fontId="43" fillId="0" borderId="0" xfId="0" applyNumberFormat="1" applyFont="1"/>
    <xf numFmtId="6" fontId="43" fillId="0" borderId="0" xfId="0" applyNumberFormat="1" applyFont="1"/>
    <xf numFmtId="0" fontId="48" fillId="20" borderId="46" xfId="0" applyFont="1" applyFill="1" applyBorder="1" applyAlignment="1">
      <alignment horizontal="center" vertical="center" wrapText="1"/>
    </xf>
    <xf numFmtId="6" fontId="46" fillId="21" borderId="29" xfId="0" applyNumberFormat="1" applyFont="1" applyFill="1" applyBorder="1" applyAlignment="1">
      <alignment horizontal="left" vertical="center" wrapText="1" indent="1"/>
    </xf>
    <xf numFmtId="0" fontId="44" fillId="20" borderId="47" xfId="0" applyFont="1" applyFill="1" applyBorder="1" applyAlignment="1">
      <alignment horizontal="center" vertical="center" wrapText="1"/>
    </xf>
    <xf numFmtId="10" fontId="48" fillId="9" borderId="48" xfId="0" applyNumberFormat="1" applyFont="1" applyFill="1" applyBorder="1" applyAlignment="1">
      <alignment horizontal="left" vertical="center" wrapText="1" indent="1"/>
    </xf>
    <xf numFmtId="10" fontId="48" fillId="9" borderId="49" xfId="0" applyNumberFormat="1" applyFont="1" applyFill="1" applyBorder="1" applyAlignment="1">
      <alignment horizontal="left" vertical="center" wrapText="1" indent="1"/>
    </xf>
    <xf numFmtId="0" fontId="46" fillId="14" borderId="33" xfId="0" applyFont="1" applyFill="1" applyBorder="1" applyAlignment="1">
      <alignment horizontal="left" vertical="center" wrapText="1" indent="1"/>
    </xf>
    <xf numFmtId="0" fontId="46" fillId="15" borderId="33" xfId="0" applyFont="1" applyFill="1" applyBorder="1" applyAlignment="1">
      <alignment horizontal="left" vertical="center" wrapText="1" indent="1"/>
    </xf>
    <xf numFmtId="0" fontId="48" fillId="20" borderId="52" xfId="0" applyFont="1" applyFill="1" applyBorder="1" applyAlignment="1">
      <alignment horizontal="center" vertical="center" wrapText="1"/>
    </xf>
    <xf numFmtId="169" fontId="46" fillId="21" borderId="54" xfId="0" applyNumberFormat="1" applyFont="1" applyFill="1" applyBorder="1" applyAlignment="1">
      <alignment horizontal="left" vertical="center" indent="1"/>
    </xf>
    <xf numFmtId="0" fontId="44" fillId="20" borderId="0" xfId="0" applyFont="1" applyFill="1" applyAlignment="1">
      <alignment horizontal="center" vertical="center" wrapText="1"/>
    </xf>
    <xf numFmtId="5" fontId="0" fillId="0" borderId="0" xfId="0" applyNumberFormat="1"/>
    <xf numFmtId="9" fontId="46" fillId="21" borderId="59" xfId="0" applyNumberFormat="1" applyFont="1" applyFill="1" applyBorder="1" applyAlignment="1">
      <alignment horizontal="left" vertical="center" wrapText="1" indent="1"/>
    </xf>
    <xf numFmtId="9" fontId="49" fillId="18" borderId="56" xfId="0" applyNumberFormat="1" applyFont="1" applyFill="1" applyBorder="1" applyAlignment="1">
      <alignment horizontal="left" vertical="center" wrapText="1" indent="1"/>
    </xf>
    <xf numFmtId="9" fontId="49" fillId="18" borderId="55" xfId="0" applyNumberFormat="1" applyFont="1" applyFill="1" applyBorder="1" applyAlignment="1">
      <alignment horizontal="left" vertical="center" wrapText="1" indent="1"/>
    </xf>
    <xf numFmtId="9" fontId="49" fillId="18" borderId="57" xfId="0" applyNumberFormat="1" applyFont="1" applyFill="1" applyBorder="1" applyAlignment="1">
      <alignment horizontal="left" vertical="center" wrapText="1" indent="1"/>
    </xf>
    <xf numFmtId="0" fontId="46" fillId="23" borderId="33" xfId="0" applyFont="1" applyFill="1" applyBorder="1" applyAlignment="1">
      <alignment horizontal="left" vertical="center" indent="1"/>
    </xf>
    <xf numFmtId="0" fontId="46" fillId="23" borderId="33" xfId="0" applyFont="1" applyFill="1" applyBorder="1" applyAlignment="1">
      <alignment horizontal="left" vertical="center" wrapText="1" indent="1"/>
    </xf>
    <xf numFmtId="0" fontId="47" fillId="16" borderId="33" xfId="0" applyFont="1" applyFill="1" applyBorder="1" applyAlignment="1">
      <alignment horizontal="left" vertical="center" wrapText="1" indent="1"/>
    </xf>
    <xf numFmtId="0" fontId="46" fillId="24" borderId="26" xfId="0" applyFont="1" applyFill="1" applyBorder="1" applyAlignment="1">
      <alignment horizontal="left" vertical="center" indent="1"/>
    </xf>
    <xf numFmtId="0" fontId="46" fillId="24" borderId="28" xfId="0" applyFont="1" applyFill="1" applyBorder="1" applyAlignment="1">
      <alignment horizontal="left" vertical="center" indent="1"/>
    </xf>
    <xf numFmtId="0" fontId="44" fillId="20" borderId="40" xfId="0" applyFont="1" applyFill="1" applyBorder="1" applyAlignment="1">
      <alignment horizontal="center" vertical="center" wrapText="1"/>
    </xf>
    <xf numFmtId="0" fontId="16" fillId="3" borderId="0" xfId="0" applyFont="1" applyFill="1" applyAlignment="1">
      <alignment horizontal="left" indent="1"/>
    </xf>
    <xf numFmtId="0" fontId="16" fillId="3" borderId="0" xfId="0" applyFont="1" applyFill="1"/>
    <xf numFmtId="37" fontId="16" fillId="3" borderId="25" xfId="0" applyNumberFormat="1" applyFont="1" applyFill="1" applyBorder="1"/>
    <xf numFmtId="37" fontId="16" fillId="3" borderId="0" xfId="0" applyNumberFormat="1" applyFont="1" applyFill="1"/>
    <xf numFmtId="37" fontId="17" fillId="3" borderId="11" xfId="0" applyNumberFormat="1" applyFont="1" applyFill="1" applyBorder="1"/>
    <xf numFmtId="0" fontId="44" fillId="20" borderId="62" xfId="0" applyFont="1" applyFill="1" applyBorder="1" applyAlignment="1">
      <alignment horizontal="centerContinuous" vertical="center" wrapText="1"/>
    </xf>
    <xf numFmtId="0" fontId="48" fillId="20" borderId="63" xfId="0" applyFont="1" applyFill="1" applyBorder="1" applyAlignment="1">
      <alignment horizontal="center" vertical="center" wrapText="1"/>
    </xf>
    <xf numFmtId="0" fontId="44" fillId="20" borderId="64" xfId="0" applyFont="1" applyFill="1" applyBorder="1" applyAlignment="1">
      <alignment horizontal="centerContinuous" vertical="center" wrapText="1"/>
    </xf>
    <xf numFmtId="0" fontId="44" fillId="20" borderId="65" xfId="0" applyFont="1" applyFill="1" applyBorder="1" applyAlignment="1">
      <alignment horizontal="centerContinuous" vertical="center" wrapText="1"/>
    </xf>
    <xf numFmtId="0" fontId="48" fillId="20" borderId="66" xfId="0" applyFont="1" applyFill="1" applyBorder="1" applyAlignment="1">
      <alignment horizontal="center" vertical="center" wrapText="1"/>
    </xf>
    <xf numFmtId="6" fontId="49" fillId="18" borderId="36" xfId="0" applyNumberFormat="1" applyFont="1" applyFill="1" applyBorder="1" applyAlignment="1">
      <alignment horizontal="left" vertical="center" wrapText="1" indent="1"/>
    </xf>
    <xf numFmtId="0" fontId="48" fillId="20" borderId="53" xfId="0" applyFont="1" applyFill="1" applyBorder="1" applyAlignment="1">
      <alignment horizontal="centerContinuous" vertical="center" wrapText="1"/>
    </xf>
    <xf numFmtId="0" fontId="48" fillId="20" borderId="73" xfId="0" applyFont="1" applyFill="1" applyBorder="1" applyAlignment="1">
      <alignment horizontal="centerContinuous" vertical="center" wrapText="1"/>
    </xf>
    <xf numFmtId="9" fontId="46" fillId="21" borderId="75" xfId="0" applyNumberFormat="1" applyFont="1" applyFill="1" applyBorder="1" applyAlignment="1">
      <alignment horizontal="left" vertical="center" wrapText="1" indent="1"/>
    </xf>
    <xf numFmtId="0" fontId="44" fillId="20" borderId="76" xfId="0" applyFont="1" applyFill="1" applyBorder="1" applyAlignment="1">
      <alignment horizontal="centerContinuous" vertical="center" wrapText="1"/>
    </xf>
    <xf numFmtId="0" fontId="48" fillId="20" borderId="72" xfId="0" applyFont="1" applyFill="1" applyBorder="1" applyAlignment="1">
      <alignment horizontal="centerContinuous" vertical="center" wrapText="1"/>
    </xf>
    <xf numFmtId="0" fontId="0" fillId="0" borderId="77" xfId="0" applyBorder="1"/>
    <xf numFmtId="0" fontId="48" fillId="20" borderId="61" xfId="0" applyFont="1" applyFill="1" applyBorder="1" applyAlignment="1">
      <alignment horizontal="centerContinuous" vertical="center" wrapText="1"/>
    </xf>
    <xf numFmtId="171" fontId="44" fillId="20" borderId="35" xfId="0" applyNumberFormat="1" applyFont="1" applyFill="1" applyBorder="1" applyAlignment="1">
      <alignment horizontal="center" vertical="center" wrapText="1"/>
    </xf>
    <xf numFmtId="171" fontId="44" fillId="20" borderId="26" xfId="0" applyNumberFormat="1" applyFont="1" applyFill="1" applyBorder="1" applyAlignment="1">
      <alignment horizontal="center" vertical="center" wrapText="1"/>
    </xf>
    <xf numFmtId="171" fontId="44" fillId="20" borderId="33" xfId="0" applyNumberFormat="1" applyFont="1" applyFill="1" applyBorder="1" applyAlignment="1">
      <alignment horizontal="center" vertical="center" wrapText="1"/>
    </xf>
    <xf numFmtId="171" fontId="46" fillId="17" borderId="33" xfId="0" applyNumberFormat="1" applyFont="1" applyFill="1" applyBorder="1" applyAlignment="1">
      <alignment horizontal="center" vertical="center" wrapText="1"/>
    </xf>
    <xf numFmtId="171" fontId="44" fillId="18" borderId="39" xfId="0" applyNumberFormat="1" applyFont="1" applyFill="1" applyBorder="1" applyAlignment="1">
      <alignment horizontal="center" vertical="center" wrapText="1"/>
    </xf>
    <xf numFmtId="171" fontId="48" fillId="9" borderId="50" xfId="0" applyNumberFormat="1" applyFont="1" applyFill="1" applyBorder="1" applyAlignment="1">
      <alignment horizontal="center" vertical="center" wrapText="1"/>
    </xf>
    <xf numFmtId="171" fontId="48" fillId="9" borderId="51" xfId="0" applyNumberFormat="1" applyFont="1" applyFill="1" applyBorder="1" applyAlignment="1">
      <alignment horizontal="center" vertical="center" wrapText="1"/>
    </xf>
    <xf numFmtId="171" fontId="46" fillId="19" borderId="33" xfId="0" applyNumberFormat="1" applyFont="1" applyFill="1" applyBorder="1" applyAlignment="1">
      <alignment horizontal="center" vertical="center" wrapText="1"/>
    </xf>
    <xf numFmtId="0" fontId="44" fillId="20" borderId="78" xfId="0" applyFont="1" applyFill="1" applyBorder="1" applyAlignment="1">
      <alignment horizontal="center" vertical="center" wrapText="1"/>
    </xf>
    <xf numFmtId="172" fontId="48" fillId="9" borderId="43" xfId="0" applyNumberFormat="1" applyFont="1" applyFill="1" applyBorder="1" applyAlignment="1">
      <alignment horizontal="left" vertical="center" wrapText="1" indent="1"/>
    </xf>
    <xf numFmtId="172" fontId="48" fillId="9" borderId="44" xfId="0" applyNumberFormat="1" applyFont="1" applyFill="1" applyBorder="1" applyAlignment="1">
      <alignment horizontal="left" vertical="center" wrapText="1" indent="1"/>
    </xf>
    <xf numFmtId="172" fontId="48" fillId="9" borderId="36" xfId="0" applyNumberFormat="1" applyFont="1" applyFill="1" applyBorder="1" applyAlignment="1">
      <alignment horizontal="left" vertical="center" wrapText="1" indent="1"/>
    </xf>
    <xf numFmtId="170" fontId="48" fillId="9" borderId="49" xfId="0" applyNumberFormat="1" applyFont="1" applyFill="1" applyBorder="1" applyAlignment="1">
      <alignment horizontal="left" vertical="center" wrapText="1" indent="1"/>
    </xf>
    <xf numFmtId="171" fontId="46" fillId="21" borderId="60" xfId="0" applyNumberFormat="1" applyFont="1" applyFill="1" applyBorder="1" applyAlignment="1">
      <alignment horizontal="center" vertical="center" wrapText="1"/>
    </xf>
    <xf numFmtId="169" fontId="46" fillId="21" borderId="79" xfId="0" applyNumberFormat="1" applyFont="1" applyFill="1" applyBorder="1" applyAlignment="1">
      <alignment horizontal="left" vertical="center" indent="1"/>
    </xf>
    <xf numFmtId="171" fontId="46" fillId="21" borderId="80" xfId="0" applyNumberFormat="1" applyFont="1" applyFill="1" applyBorder="1" applyAlignment="1">
      <alignment horizontal="center" vertical="center" wrapText="1"/>
    </xf>
    <xf numFmtId="169" fontId="48" fillId="9" borderId="53" xfId="0" applyNumberFormat="1" applyFont="1" applyFill="1" applyBorder="1" applyAlignment="1">
      <alignment horizontal="center" vertical="center" wrapText="1"/>
    </xf>
    <xf numFmtId="169" fontId="48" fillId="9" borderId="67" xfId="0" applyNumberFormat="1" applyFont="1" applyFill="1" applyBorder="1" applyAlignment="1">
      <alignment horizontal="center" vertical="center" wrapText="1"/>
    </xf>
    <xf numFmtId="169" fontId="48" fillId="9" borderId="57" xfId="0" applyNumberFormat="1" applyFont="1" applyFill="1" applyBorder="1" applyAlignment="1">
      <alignment horizontal="center" vertical="center" wrapText="1"/>
    </xf>
    <xf numFmtId="0" fontId="42" fillId="0" borderId="0" xfId="0" applyFont="1"/>
    <xf numFmtId="0" fontId="42" fillId="0" borderId="0" xfId="0" applyFont="1" applyAlignment="1">
      <alignment horizontal="center" vertical="center"/>
    </xf>
    <xf numFmtId="0" fontId="42" fillId="18" borderId="82" xfId="0" applyFont="1" applyFill="1" applyBorder="1" applyAlignment="1">
      <alignment horizontal="center" vertical="center"/>
    </xf>
    <xf numFmtId="0" fontId="42" fillId="10" borderId="82" xfId="0" applyFont="1" applyFill="1" applyBorder="1" applyAlignment="1">
      <alignment horizontal="center" vertical="center"/>
    </xf>
    <xf numFmtId="0" fontId="42" fillId="18" borderId="84" xfId="0" applyFont="1" applyFill="1" applyBorder="1" applyAlignment="1">
      <alignment horizontal="center" vertical="center"/>
    </xf>
    <xf numFmtId="173" fontId="42" fillId="28" borderId="83" xfId="0" applyNumberFormat="1" applyFont="1" applyFill="1" applyBorder="1" applyAlignment="1">
      <alignment horizontal="center" vertical="center"/>
    </xf>
    <xf numFmtId="173" fontId="42" fillId="18" borderId="84" xfId="0" applyNumberFormat="1" applyFont="1" applyFill="1" applyBorder="1" applyAlignment="1">
      <alignment horizontal="center" vertical="center"/>
    </xf>
    <xf numFmtId="173" fontId="42" fillId="10" borderId="84" xfId="0" applyNumberFormat="1" applyFont="1" applyFill="1" applyBorder="1" applyAlignment="1">
      <alignment horizontal="center" vertical="center"/>
    </xf>
    <xf numFmtId="0" fontId="50" fillId="24" borderId="83" xfId="0" applyFont="1" applyFill="1" applyBorder="1"/>
    <xf numFmtId="9" fontId="50" fillId="24" borderId="83" xfId="0" applyNumberFormat="1" applyFont="1" applyFill="1" applyBorder="1" applyAlignment="1">
      <alignment horizontal="center" vertical="center"/>
    </xf>
    <xf numFmtId="0" fontId="50" fillId="24" borderId="83" xfId="0" applyFont="1" applyFill="1" applyBorder="1" applyAlignment="1">
      <alignment horizontal="center" vertical="center"/>
    </xf>
    <xf numFmtId="0" fontId="42" fillId="10" borderId="84" xfId="0" applyFont="1" applyFill="1" applyBorder="1" applyAlignment="1">
      <alignment horizontal="center" vertical="center" wrapText="1"/>
    </xf>
    <xf numFmtId="0" fontId="42" fillId="0" borderId="85" xfId="0" applyFont="1" applyBorder="1"/>
    <xf numFmtId="0" fontId="47" fillId="24" borderId="83" xfId="0" applyFont="1" applyFill="1" applyBorder="1"/>
    <xf numFmtId="6" fontId="48" fillId="9" borderId="86" xfId="0" applyNumberFormat="1" applyFont="1" applyFill="1" applyBorder="1" applyAlignment="1">
      <alignment horizontal="left" vertical="center" wrapText="1" indent="1"/>
    </xf>
    <xf numFmtId="6" fontId="48" fillId="9" borderId="36" xfId="0" applyNumberFormat="1" applyFont="1" applyFill="1" applyBorder="1" applyAlignment="1">
      <alignment horizontal="left" vertical="center" wrapText="1" indent="1"/>
    </xf>
    <xf numFmtId="171" fontId="46" fillId="21" borderId="80" xfId="0" applyNumberFormat="1" applyFont="1" applyFill="1" applyBorder="1" applyAlignment="1">
      <alignment horizontal="left" vertical="center" wrapText="1" indent="1"/>
    </xf>
    <xf numFmtId="0" fontId="51" fillId="30" borderId="70" xfId="0" applyFont="1" applyFill="1" applyBorder="1" applyAlignment="1">
      <alignment horizontal="center" vertical="center" wrapText="1" readingOrder="1"/>
    </xf>
    <xf numFmtId="0" fontId="52" fillId="30" borderId="68" xfId="0" applyFont="1" applyFill="1" applyBorder="1" applyAlignment="1">
      <alignment horizontal="center" vertical="center" wrapText="1" readingOrder="1"/>
    </xf>
    <xf numFmtId="0" fontId="53" fillId="30" borderId="68" xfId="0" applyFont="1" applyFill="1" applyBorder="1" applyAlignment="1">
      <alignment horizontal="center" vertical="center" wrapText="1" readingOrder="1"/>
    </xf>
    <xf numFmtId="0" fontId="53" fillId="30" borderId="0" xfId="0" applyFont="1" applyFill="1" applyAlignment="1">
      <alignment horizontal="center" vertical="center" wrapText="1" readingOrder="1"/>
    </xf>
    <xf numFmtId="0" fontId="54" fillId="27" borderId="69" xfId="0" applyFont="1" applyFill="1" applyBorder="1" applyAlignment="1">
      <alignment horizontal="left" vertical="center" wrapText="1" indent="3" readingOrder="1"/>
    </xf>
    <xf numFmtId="173" fontId="54" fillId="27" borderId="69" xfId="0" applyNumberFormat="1" applyFont="1" applyFill="1" applyBorder="1" applyAlignment="1">
      <alignment horizontal="center" vertical="center" wrapText="1" readingOrder="1"/>
    </xf>
    <xf numFmtId="0" fontId="55" fillId="27" borderId="69" xfId="0" applyFont="1" applyFill="1" applyBorder="1" applyAlignment="1">
      <alignment horizontal="left" vertical="center" wrapText="1" indent="1" readingOrder="1"/>
    </xf>
    <xf numFmtId="0" fontId="56" fillId="27" borderId="68" xfId="0" applyFont="1" applyFill="1" applyBorder="1" applyAlignment="1">
      <alignment horizontal="left" vertical="center" wrapText="1" indent="1" readingOrder="1"/>
    </xf>
    <xf numFmtId="0" fontId="54" fillId="27" borderId="69" xfId="0" applyFont="1" applyFill="1" applyBorder="1" applyAlignment="1">
      <alignment horizontal="left" vertical="center" wrapText="1" indent="2" readingOrder="1"/>
    </xf>
    <xf numFmtId="0" fontId="54" fillId="27" borderId="70" xfId="0" applyFont="1" applyFill="1" applyBorder="1" applyAlignment="1">
      <alignment horizontal="left" vertical="center" wrapText="1" indent="3" readingOrder="1"/>
    </xf>
    <xf numFmtId="173" fontId="54" fillId="27" borderId="70" xfId="0" applyNumberFormat="1" applyFont="1" applyFill="1" applyBorder="1" applyAlignment="1">
      <alignment horizontal="center" vertical="center" wrapText="1" readingOrder="1"/>
    </xf>
    <xf numFmtId="0" fontId="55" fillId="27" borderId="70" xfId="0" applyFont="1" applyFill="1" applyBorder="1" applyAlignment="1">
      <alignment horizontal="left" vertical="center" wrapText="1" indent="1" readingOrder="1"/>
    </xf>
    <xf numFmtId="0" fontId="54" fillId="27" borderId="70" xfId="0" applyFont="1" applyFill="1" applyBorder="1" applyAlignment="1">
      <alignment horizontal="left" vertical="center" wrapText="1" indent="2" readingOrder="1"/>
    </xf>
    <xf numFmtId="0" fontId="55" fillId="27" borderId="81" xfId="0" applyFont="1" applyFill="1" applyBorder="1" applyAlignment="1">
      <alignment horizontal="left" vertical="center" wrapText="1" indent="1" readingOrder="1"/>
    </xf>
    <xf numFmtId="0" fontId="54" fillId="27" borderId="81" xfId="0" applyFont="1" applyFill="1" applyBorder="1" applyAlignment="1">
      <alignment horizontal="left" vertical="center" wrapText="1" indent="2" readingOrder="1"/>
    </xf>
    <xf numFmtId="0" fontId="50" fillId="15" borderId="70" xfId="0" applyFont="1" applyFill="1" applyBorder="1" applyAlignment="1">
      <alignment horizontal="left" vertical="center" wrapText="1" indent="1" readingOrder="1"/>
    </xf>
    <xf numFmtId="173" fontId="57" fillId="8" borderId="70" xfId="0" applyNumberFormat="1" applyFont="1" applyFill="1" applyBorder="1" applyAlignment="1">
      <alignment horizontal="center" vertical="center" wrapText="1" readingOrder="1"/>
    </xf>
    <xf numFmtId="0" fontId="57" fillId="8" borderId="70" xfId="0" applyFont="1" applyFill="1" applyBorder="1" applyAlignment="1">
      <alignment horizontal="left" vertical="center" wrapText="1" indent="1" readingOrder="1"/>
    </xf>
    <xf numFmtId="0" fontId="54" fillId="8" borderId="70" xfId="0" applyFont="1" applyFill="1" applyBorder="1" applyAlignment="1">
      <alignment horizontal="left" vertical="center" wrapText="1" indent="1" readingOrder="1"/>
    </xf>
    <xf numFmtId="0" fontId="50" fillId="25" borderId="70" xfId="0" applyFont="1" applyFill="1" applyBorder="1" applyAlignment="1">
      <alignment horizontal="left" vertical="center" wrapText="1" indent="1" readingOrder="1"/>
    </xf>
    <xf numFmtId="0" fontId="54" fillId="28" borderId="70" xfId="0" applyFont="1" applyFill="1" applyBorder="1" applyAlignment="1">
      <alignment horizontal="left" vertical="center" wrapText="1" indent="1" readingOrder="1"/>
    </xf>
    <xf numFmtId="0" fontId="54" fillId="28" borderId="83" xfId="0" applyFont="1" applyFill="1" applyBorder="1" applyAlignment="1">
      <alignment horizontal="left" vertical="center" wrapText="1" indent="1" readingOrder="1"/>
    </xf>
    <xf numFmtId="0" fontId="50" fillId="26" borderId="71" xfId="0" applyFont="1" applyFill="1" applyBorder="1" applyAlignment="1">
      <alignment horizontal="left" vertical="center" wrapText="1" indent="1" readingOrder="1"/>
    </xf>
    <xf numFmtId="0" fontId="50" fillId="29" borderId="71" xfId="0" applyFont="1" applyFill="1" applyBorder="1" applyAlignment="1">
      <alignment horizontal="left" vertical="center" wrapText="1" indent="1" readingOrder="1"/>
    </xf>
    <xf numFmtId="0" fontId="50" fillId="24" borderId="71" xfId="0" applyFont="1" applyFill="1" applyBorder="1" applyAlignment="1">
      <alignment horizontal="left" vertical="center" wrapText="1" indent="1" readingOrder="1"/>
    </xf>
    <xf numFmtId="0" fontId="58" fillId="20" borderId="74" xfId="0" applyFont="1" applyFill="1" applyBorder="1" applyAlignment="1">
      <alignment horizontal="center" vertical="center" wrapText="1"/>
    </xf>
    <xf numFmtId="0" fontId="58" fillId="20" borderId="74" xfId="0" applyFont="1" applyFill="1" applyBorder="1" applyAlignment="1">
      <alignment horizontal="left" vertical="center" wrapText="1" indent="1"/>
    </xf>
    <xf numFmtId="0" fontId="58" fillId="20" borderId="72" xfId="0" applyFont="1" applyFill="1" applyBorder="1" applyAlignment="1">
      <alignment horizontal="center" vertical="center" wrapText="1"/>
    </xf>
    <xf numFmtId="0" fontId="59" fillId="20" borderId="91" xfId="0" applyFont="1" applyFill="1" applyBorder="1" applyAlignment="1">
      <alignment horizontal="centerContinuous" vertical="center" wrapText="1"/>
    </xf>
    <xf numFmtId="0" fontId="60" fillId="20" borderId="90" xfId="0" applyFont="1" applyFill="1" applyBorder="1" applyAlignment="1">
      <alignment horizontal="centerContinuous" vertical="center" wrapText="1"/>
    </xf>
    <xf numFmtId="0" fontId="58" fillId="20" borderId="42" xfId="0" applyFont="1" applyFill="1" applyBorder="1" applyAlignment="1">
      <alignment horizontal="center" vertical="center" wrapText="1"/>
    </xf>
    <xf numFmtId="0" fontId="62" fillId="20" borderId="74" xfId="0" applyFont="1" applyFill="1" applyBorder="1" applyAlignment="1">
      <alignment horizontal="centerContinuous" vertical="center" wrapText="1"/>
    </xf>
    <xf numFmtId="0" fontId="62" fillId="20" borderId="72" xfId="0" applyFont="1" applyFill="1" applyBorder="1" applyAlignment="1">
      <alignment horizontal="centerContinuous" vertical="center" wrapText="1"/>
    </xf>
    <xf numFmtId="173" fontId="54" fillId="31" borderId="69" xfId="0" applyNumberFormat="1" applyFont="1" applyFill="1" applyBorder="1" applyAlignment="1">
      <alignment horizontal="center" vertical="center" wrapText="1" readingOrder="1"/>
    </xf>
    <xf numFmtId="173" fontId="54" fillId="31" borderId="89" xfId="0" applyNumberFormat="1" applyFont="1" applyFill="1" applyBorder="1" applyAlignment="1">
      <alignment horizontal="center" vertical="center" wrapText="1" readingOrder="1"/>
    </xf>
    <xf numFmtId="173" fontId="54" fillId="31" borderId="87" xfId="0" applyNumberFormat="1" applyFont="1" applyFill="1" applyBorder="1" applyAlignment="1">
      <alignment horizontal="center" vertical="center" wrapText="1" readingOrder="1"/>
    </xf>
    <xf numFmtId="173" fontId="42" fillId="31" borderId="70" xfId="0" applyNumberFormat="1" applyFont="1" applyFill="1" applyBorder="1" applyAlignment="1">
      <alignment horizontal="center" vertical="center"/>
    </xf>
    <xf numFmtId="173" fontId="42" fillId="31" borderId="87" xfId="0" applyNumberFormat="1" applyFont="1" applyFill="1" applyBorder="1" applyAlignment="1">
      <alignment horizontal="center" vertical="center"/>
    </xf>
    <xf numFmtId="173" fontId="42" fillId="31" borderId="82" xfId="0" applyNumberFormat="1" applyFont="1" applyFill="1" applyBorder="1" applyAlignment="1">
      <alignment horizontal="center" vertical="center"/>
    </xf>
    <xf numFmtId="173" fontId="63" fillId="22" borderId="70" xfId="0" applyNumberFormat="1" applyFont="1" applyFill="1" applyBorder="1" applyAlignment="1">
      <alignment horizontal="center" vertical="center" wrapText="1" readingOrder="1"/>
    </xf>
    <xf numFmtId="173" fontId="63" fillId="22" borderId="87" xfId="0" applyNumberFormat="1" applyFont="1" applyFill="1" applyBorder="1" applyAlignment="1">
      <alignment horizontal="center" vertical="center" wrapText="1" readingOrder="1"/>
    </xf>
    <xf numFmtId="0" fontId="56" fillId="27" borderId="70" xfId="0" applyFont="1" applyFill="1" applyBorder="1" applyAlignment="1">
      <alignment horizontal="left" vertical="center" wrapText="1" indent="1" readingOrder="1"/>
    </xf>
    <xf numFmtId="0" fontId="56" fillId="27" borderId="71" xfId="0" applyFont="1" applyFill="1" applyBorder="1" applyAlignment="1">
      <alignment horizontal="left" vertical="center" wrapText="1" indent="1" readingOrder="1"/>
    </xf>
    <xf numFmtId="0" fontId="64" fillId="20" borderId="70" xfId="0" applyFont="1" applyFill="1" applyBorder="1" applyAlignment="1">
      <alignment horizontal="center" vertical="center" wrapText="1" readingOrder="1"/>
    </xf>
    <xf numFmtId="0" fontId="56" fillId="20" borderId="94" xfId="0" applyFont="1" applyFill="1" applyBorder="1" applyAlignment="1">
      <alignment horizontal="left" vertical="center" wrapText="1" indent="1" readingOrder="1"/>
    </xf>
    <xf numFmtId="0" fontId="56" fillId="20" borderId="68" xfId="0" applyFont="1" applyFill="1" applyBorder="1" applyAlignment="1">
      <alignment horizontal="left" vertical="center" wrapText="1" indent="1" readingOrder="1"/>
    </xf>
    <xf numFmtId="0" fontId="47" fillId="15" borderId="70" xfId="0" applyFont="1" applyFill="1" applyBorder="1" applyAlignment="1">
      <alignment horizontal="left" vertical="center" wrapText="1" indent="1" readingOrder="1"/>
    </xf>
    <xf numFmtId="0" fontId="49" fillId="27" borderId="70" xfId="0" applyFont="1" applyFill="1" applyBorder="1" applyAlignment="1">
      <alignment horizontal="left" vertical="center" wrapText="1" indent="1" readingOrder="1"/>
    </xf>
    <xf numFmtId="0" fontId="59" fillId="20" borderId="0" xfId="0" applyFont="1" applyFill="1" applyAlignment="1">
      <alignment horizontal="centerContinuous" vertical="center" wrapText="1"/>
    </xf>
    <xf numFmtId="0" fontId="42" fillId="0" borderId="1" xfId="0" applyFont="1" applyBorder="1"/>
    <xf numFmtId="6" fontId="50" fillId="24" borderId="70" xfId="0" applyNumberFormat="1" applyFont="1" applyFill="1" applyBorder="1" applyAlignment="1">
      <alignment horizontal="center" vertical="center"/>
    </xf>
    <xf numFmtId="6" fontId="42" fillId="0" borderId="0" xfId="0" applyNumberFormat="1" applyFont="1"/>
    <xf numFmtId="174" fontId="42" fillId="27" borderId="70" xfId="0" applyNumberFormat="1" applyFont="1" applyFill="1" applyBorder="1" applyAlignment="1">
      <alignment horizontal="center" vertical="center"/>
    </xf>
    <xf numFmtId="0" fontId="58" fillId="20" borderId="0" xfId="0" applyFont="1" applyFill="1" applyAlignment="1">
      <alignment horizontal="center" vertical="center" wrapText="1"/>
    </xf>
    <xf numFmtId="174" fontId="50" fillId="24" borderId="0" xfId="0" applyNumberFormat="1" applyFont="1" applyFill="1" applyAlignment="1">
      <alignment horizontal="center" vertical="center"/>
    </xf>
    <xf numFmtId="6" fontId="58" fillId="20" borderId="0" xfId="0" applyNumberFormat="1" applyFont="1" applyFill="1" applyAlignment="1">
      <alignment horizontal="center" vertical="center" wrapText="1"/>
    </xf>
    <xf numFmtId="173" fontId="63" fillId="15" borderId="70" xfId="0" applyNumberFormat="1" applyFont="1" applyFill="1" applyBorder="1" applyAlignment="1">
      <alignment horizontal="center" vertical="center" wrapText="1" readingOrder="1"/>
    </xf>
    <xf numFmtId="0" fontId="46" fillId="15" borderId="70" xfId="0" applyFont="1" applyFill="1" applyBorder="1" applyAlignment="1">
      <alignment horizontal="left" vertical="center" wrapText="1" indent="1" readingOrder="1"/>
    </xf>
    <xf numFmtId="0" fontId="50" fillId="15" borderId="71" xfId="0" applyFont="1" applyFill="1" applyBorder="1" applyAlignment="1">
      <alignment horizontal="left" vertical="center" wrapText="1" indent="1" readingOrder="1"/>
    </xf>
    <xf numFmtId="173" fontId="63" fillId="15" borderId="87" xfId="0" applyNumberFormat="1" applyFont="1" applyFill="1" applyBorder="1" applyAlignment="1">
      <alignment horizontal="center" vertical="center" wrapText="1" readingOrder="1"/>
    </xf>
    <xf numFmtId="173" fontId="56" fillId="27" borderId="70" xfId="0" applyNumberFormat="1" applyFont="1" applyFill="1" applyBorder="1" applyAlignment="1">
      <alignment horizontal="center" vertical="center"/>
    </xf>
    <xf numFmtId="173" fontId="56" fillId="27" borderId="87" xfId="0" applyNumberFormat="1" applyFont="1" applyFill="1" applyBorder="1" applyAlignment="1">
      <alignment horizontal="center" vertical="center"/>
    </xf>
    <xf numFmtId="0" fontId="49" fillId="27" borderId="88" xfId="0" applyFont="1" applyFill="1" applyBorder="1" applyAlignment="1">
      <alignment horizontal="left" vertical="center" indent="1"/>
    </xf>
    <xf numFmtId="173" fontId="56" fillId="27" borderId="88" xfId="0" applyNumberFormat="1" applyFont="1" applyFill="1" applyBorder="1" applyAlignment="1">
      <alignment horizontal="center" vertical="center"/>
    </xf>
    <xf numFmtId="173" fontId="56" fillId="27" borderId="82" xfId="0" applyNumberFormat="1" applyFont="1" applyFill="1" applyBorder="1" applyAlignment="1">
      <alignment horizontal="center" vertical="center"/>
    </xf>
    <xf numFmtId="0" fontId="49" fillId="27" borderId="70" xfId="0" applyFont="1" applyFill="1" applyBorder="1" applyAlignment="1">
      <alignment horizontal="left" vertical="center" wrapText="1" indent="1"/>
    </xf>
    <xf numFmtId="0" fontId="58" fillId="20" borderId="96" xfId="0" applyFont="1" applyFill="1" applyBorder="1" applyAlignment="1">
      <alignment horizontal="center" vertical="center" wrapText="1"/>
    </xf>
    <xf numFmtId="173" fontId="61" fillId="9" borderId="97" xfId="0" applyNumberFormat="1" applyFont="1" applyFill="1" applyBorder="1" applyAlignment="1">
      <alignment horizontal="center" vertical="center" wrapText="1" readingOrder="1"/>
    </xf>
    <xf numFmtId="173" fontId="61" fillId="9" borderId="98" xfId="0" applyNumberFormat="1" applyFont="1" applyFill="1" applyBorder="1" applyAlignment="1">
      <alignment horizontal="center" vertical="center" wrapText="1" readingOrder="1"/>
    </xf>
    <xf numFmtId="173" fontId="63" fillId="21" borderId="42" xfId="0" applyNumberFormat="1" applyFont="1" applyFill="1" applyBorder="1" applyAlignment="1">
      <alignment horizontal="center" vertical="center" wrapText="1" readingOrder="1"/>
    </xf>
    <xf numFmtId="173" fontId="63" fillId="21" borderId="99" xfId="0" applyNumberFormat="1" applyFont="1" applyFill="1" applyBorder="1" applyAlignment="1">
      <alignment horizontal="center" vertical="center" wrapText="1" readingOrder="1"/>
    </xf>
    <xf numFmtId="173" fontId="61" fillId="9" borderId="97" xfId="0" applyNumberFormat="1" applyFont="1" applyFill="1" applyBorder="1" applyAlignment="1">
      <alignment horizontal="center" vertical="center"/>
    </xf>
    <xf numFmtId="173" fontId="61" fillId="9" borderId="98" xfId="0" applyNumberFormat="1" applyFont="1" applyFill="1" applyBorder="1" applyAlignment="1">
      <alignment horizontal="center" vertical="center"/>
    </xf>
    <xf numFmtId="9" fontId="50" fillId="24" borderId="42" xfId="0" applyNumberFormat="1" applyFont="1" applyFill="1" applyBorder="1" applyAlignment="1">
      <alignment horizontal="center" vertical="center"/>
    </xf>
    <xf numFmtId="9" fontId="50" fillId="24" borderId="99" xfId="0" applyNumberFormat="1" applyFont="1" applyFill="1" applyBorder="1" applyAlignment="1">
      <alignment horizontal="center" vertical="center"/>
    </xf>
    <xf numFmtId="9" fontId="50" fillId="24" borderId="93" xfId="0" applyNumberFormat="1" applyFont="1" applyFill="1" applyBorder="1" applyAlignment="1">
      <alignment horizontal="center" vertical="center"/>
    </xf>
    <xf numFmtId="9" fontId="50" fillId="24" borderId="100" xfId="0" applyNumberFormat="1" applyFont="1" applyFill="1" applyBorder="1" applyAlignment="1">
      <alignment horizontal="center" vertical="center"/>
    </xf>
    <xf numFmtId="0" fontId="58" fillId="20" borderId="101" xfId="0" applyFont="1" applyFill="1" applyBorder="1" applyAlignment="1">
      <alignment horizontal="center" vertical="center" wrapText="1"/>
    </xf>
    <xf numFmtId="0" fontId="64" fillId="20" borderId="70" xfId="0" applyFont="1" applyFill="1" applyBorder="1" applyAlignment="1">
      <alignment horizontal="left" vertical="center" readingOrder="1"/>
    </xf>
    <xf numFmtId="175" fontId="54" fillId="27" borderId="70" xfId="0" applyNumberFormat="1" applyFont="1" applyFill="1" applyBorder="1" applyAlignment="1">
      <alignment horizontal="center" vertical="center" wrapText="1" readingOrder="1"/>
    </xf>
    <xf numFmtId="0" fontId="58" fillId="20" borderId="102" xfId="0" applyFont="1" applyFill="1" applyBorder="1" applyAlignment="1">
      <alignment horizontal="left" vertical="center" wrapText="1" indent="1"/>
    </xf>
    <xf numFmtId="0" fontId="58" fillId="20" borderId="102" xfId="0" applyFont="1" applyFill="1" applyBorder="1" applyAlignment="1">
      <alignment horizontal="center" vertical="center" wrapText="1"/>
    </xf>
    <xf numFmtId="0" fontId="58" fillId="20" borderId="103" xfId="0" applyFont="1" applyFill="1" applyBorder="1" applyAlignment="1">
      <alignment horizontal="center" vertical="center" wrapText="1"/>
    </xf>
    <xf numFmtId="6" fontId="50" fillId="24" borderId="71" xfId="0" applyNumberFormat="1" applyFont="1" applyFill="1" applyBorder="1" applyAlignment="1">
      <alignment horizontal="center" vertical="center"/>
    </xf>
    <xf numFmtId="174" fontId="63" fillId="21" borderId="104" xfId="0" applyNumberFormat="1" applyFont="1" applyFill="1" applyBorder="1" applyAlignment="1">
      <alignment horizontal="center" vertical="center" wrapText="1" readingOrder="1"/>
    </xf>
    <xf numFmtId="174" fontId="61" fillId="9" borderId="70" xfId="0" applyNumberFormat="1" applyFont="1" applyFill="1" applyBorder="1" applyAlignment="1">
      <alignment horizontal="center" vertical="center" wrapText="1" readingOrder="1"/>
    </xf>
    <xf numFmtId="6" fontId="54" fillId="27" borderId="70" xfId="0" applyNumberFormat="1" applyFont="1" applyFill="1" applyBorder="1" applyAlignment="1">
      <alignment horizontal="center" vertical="center" wrapText="1" readingOrder="1"/>
    </xf>
    <xf numFmtId="175" fontId="61" fillId="9" borderId="70" xfId="0" applyNumberFormat="1" applyFont="1" applyFill="1" applyBorder="1" applyAlignment="1">
      <alignment horizontal="center" vertical="center" wrapText="1" readingOrder="1"/>
    </xf>
    <xf numFmtId="0" fontId="50" fillId="24" borderId="70" xfId="0" applyFont="1" applyFill="1" applyBorder="1" applyAlignment="1">
      <alignment horizontal="left" vertical="center" wrapText="1" indent="1" readingOrder="1"/>
    </xf>
    <xf numFmtId="174" fontId="50" fillId="24" borderId="70" xfId="0" applyNumberFormat="1" applyFont="1" applyFill="1" applyBorder="1" applyAlignment="1">
      <alignment horizontal="center" vertical="center"/>
    </xf>
    <xf numFmtId="0" fontId="42" fillId="2" borderId="0" xfId="0" applyFont="1" applyFill="1"/>
    <xf numFmtId="174" fontId="61" fillId="9" borderId="87" xfId="0" applyNumberFormat="1" applyFont="1" applyFill="1" applyBorder="1" applyAlignment="1">
      <alignment horizontal="center" vertical="center" wrapText="1" readingOrder="1"/>
    </xf>
    <xf numFmtId="174" fontId="63" fillId="21" borderId="77" xfId="0" applyNumberFormat="1" applyFont="1" applyFill="1" applyBorder="1" applyAlignment="1">
      <alignment horizontal="center" vertical="center" wrapText="1" readingOrder="1"/>
    </xf>
    <xf numFmtId="174" fontId="61" fillId="2" borderId="87" xfId="0" applyNumberFormat="1" applyFont="1" applyFill="1" applyBorder="1" applyAlignment="1">
      <alignment horizontal="center" vertical="center" wrapText="1" readingOrder="1"/>
    </xf>
    <xf numFmtId="174" fontId="50" fillId="24" borderId="87" xfId="0" applyNumberFormat="1" applyFont="1" applyFill="1" applyBorder="1" applyAlignment="1">
      <alignment horizontal="center" vertical="center"/>
    </xf>
    <xf numFmtId="0" fontId="42" fillId="0" borderId="88" xfId="0" applyFont="1" applyBorder="1"/>
    <xf numFmtId="0" fontId="59" fillId="20" borderId="1" xfId="0" applyFont="1" applyFill="1" applyBorder="1" applyAlignment="1">
      <alignment horizontal="centerContinuous" vertical="center" wrapText="1"/>
    </xf>
    <xf numFmtId="176" fontId="65" fillId="31" borderId="70" xfId="0" applyNumberFormat="1" applyFont="1" applyFill="1" applyBorder="1" applyAlignment="1">
      <alignment horizontal="center" vertical="center"/>
    </xf>
    <xf numFmtId="177" fontId="56" fillId="31" borderId="70" xfId="0" applyNumberFormat="1" applyFont="1" applyFill="1" applyBorder="1" applyAlignment="1">
      <alignment horizontal="center" vertical="center" wrapText="1" readingOrder="1"/>
    </xf>
    <xf numFmtId="177" fontId="56" fillId="31" borderId="70" xfId="0" applyNumberFormat="1" applyFont="1" applyFill="1" applyBorder="1" applyAlignment="1">
      <alignment horizontal="center" vertical="center"/>
    </xf>
    <xf numFmtId="176" fontId="63" fillId="22" borderId="81" xfId="0" applyNumberFormat="1" applyFont="1" applyFill="1" applyBorder="1" applyAlignment="1">
      <alignment horizontal="center" vertical="center" wrapText="1" readingOrder="1"/>
    </xf>
    <xf numFmtId="176" fontId="63" fillId="32" borderId="81" xfId="0" applyNumberFormat="1" applyFont="1" applyFill="1" applyBorder="1" applyAlignment="1">
      <alignment horizontal="center" vertical="center" wrapText="1" readingOrder="1"/>
    </xf>
    <xf numFmtId="6" fontId="50" fillId="21" borderId="71" xfId="0" applyNumberFormat="1" applyFont="1" applyFill="1" applyBorder="1" applyAlignment="1">
      <alignment horizontal="center" vertical="center"/>
    </xf>
    <xf numFmtId="173" fontId="63" fillId="22" borderId="105" xfId="0" applyNumberFormat="1" applyFont="1" applyFill="1" applyBorder="1" applyAlignment="1">
      <alignment horizontal="center" vertical="center" wrapText="1" readingOrder="1"/>
    </xf>
    <xf numFmtId="9" fontId="50" fillId="22" borderId="105" xfId="0" applyNumberFormat="1" applyFont="1" applyFill="1" applyBorder="1" applyAlignment="1">
      <alignment horizontal="center" vertical="center"/>
    </xf>
    <xf numFmtId="173" fontId="54" fillId="9" borderId="95" xfId="0" applyNumberFormat="1" applyFont="1" applyFill="1" applyBorder="1" applyAlignment="1">
      <alignment horizontal="center" vertical="center" wrapText="1" readingOrder="1"/>
    </xf>
    <xf numFmtId="173" fontId="54" fillId="9" borderId="87" xfId="0" applyNumberFormat="1" applyFont="1" applyFill="1" applyBorder="1" applyAlignment="1">
      <alignment horizontal="center" vertical="center" wrapText="1" readingOrder="1"/>
    </xf>
    <xf numFmtId="173" fontId="63" fillId="21" borderId="92" xfId="0" applyNumberFormat="1" applyFont="1" applyFill="1" applyBorder="1" applyAlignment="1">
      <alignment horizontal="center" vertical="center" wrapText="1" readingOrder="1"/>
    </xf>
    <xf numFmtId="9" fontId="50" fillId="21" borderId="92" xfId="0" applyNumberFormat="1" applyFont="1" applyFill="1" applyBorder="1" applyAlignment="1">
      <alignment horizontal="center" vertical="center"/>
    </xf>
    <xf numFmtId="173" fontId="50" fillId="32" borderId="82" xfId="0" applyNumberFormat="1" applyFont="1" applyFill="1" applyBorder="1" applyAlignment="1">
      <alignment horizontal="center" vertical="center" wrapText="1" readingOrder="1"/>
    </xf>
    <xf numFmtId="0" fontId="42" fillId="31" borderId="1" xfId="0" applyFont="1" applyFill="1" applyBorder="1"/>
    <xf numFmtId="0" fontId="42" fillId="31" borderId="0" xfId="0" applyFont="1" applyFill="1"/>
    <xf numFmtId="6" fontId="42" fillId="31" borderId="0" xfId="0" applyNumberFormat="1" applyFont="1" applyFill="1"/>
    <xf numFmtId="175" fontId="42" fillId="31" borderId="0" xfId="0" applyNumberFormat="1" applyFont="1" applyFill="1"/>
    <xf numFmtId="178" fontId="42" fillId="31" borderId="1" xfId="0" applyNumberFormat="1" applyFont="1" applyFill="1" applyBorder="1"/>
    <xf numFmtId="174" fontId="63" fillId="15" borderId="71" xfId="0" applyNumberFormat="1" applyFont="1" applyFill="1" applyBorder="1" applyAlignment="1">
      <alignment horizontal="center" vertical="center" wrapText="1" readingOrder="1"/>
    </xf>
    <xf numFmtId="176" fontId="56" fillId="31" borderId="81" xfId="0" applyNumberFormat="1" applyFont="1" applyFill="1" applyBorder="1" applyAlignment="1">
      <alignment horizontal="center" vertical="center" wrapText="1" readingOrder="1"/>
    </xf>
    <xf numFmtId="174" fontId="65" fillId="31" borderId="106" xfId="0" applyNumberFormat="1" applyFont="1" applyFill="1" applyBorder="1" applyAlignment="1">
      <alignment horizontal="center" vertical="center" wrapText="1" readingOrder="1"/>
    </xf>
    <xf numFmtId="175" fontId="56" fillId="31" borderId="107" xfId="0" applyNumberFormat="1" applyFont="1" applyFill="1" applyBorder="1" applyAlignment="1">
      <alignment horizontal="center" vertical="center" wrapText="1" readingOrder="1"/>
    </xf>
    <xf numFmtId="174" fontId="63" fillId="22" borderId="107" xfId="0" applyNumberFormat="1" applyFont="1" applyFill="1" applyBorder="1" applyAlignment="1">
      <alignment horizontal="center" vertical="center" wrapText="1" readingOrder="1"/>
    </xf>
    <xf numFmtId="174" fontId="56" fillId="31" borderId="107" xfId="0" applyNumberFormat="1" applyFont="1" applyFill="1" applyBorder="1" applyAlignment="1">
      <alignment horizontal="center" vertical="center"/>
    </xf>
    <xf numFmtId="174" fontId="50" fillId="24" borderId="107" xfId="0" applyNumberFormat="1" applyFont="1" applyFill="1" applyBorder="1" applyAlignment="1">
      <alignment horizontal="center" vertical="center"/>
    </xf>
    <xf numFmtId="0" fontId="42" fillId="0" borderId="71" xfId="0" applyFont="1" applyBorder="1"/>
    <xf numFmtId="176" fontId="65" fillId="31" borderId="36" xfId="0" applyNumberFormat="1" applyFont="1" applyFill="1" applyBorder="1" applyAlignment="1">
      <alignment horizontal="center" vertical="center" wrapText="1" readingOrder="1"/>
    </xf>
    <xf numFmtId="177" fontId="56" fillId="31" borderId="36" xfId="0" applyNumberFormat="1" applyFont="1" applyFill="1" applyBorder="1" applyAlignment="1">
      <alignment horizontal="center" vertical="center" wrapText="1" readingOrder="1"/>
    </xf>
    <xf numFmtId="176" fontId="63" fillId="22" borderId="36" xfId="0" applyNumberFormat="1" applyFont="1" applyFill="1" applyBorder="1" applyAlignment="1">
      <alignment horizontal="center" vertical="center" wrapText="1" readingOrder="1"/>
    </xf>
    <xf numFmtId="177" fontId="56" fillId="31" borderId="36" xfId="0" applyNumberFormat="1" applyFont="1" applyFill="1" applyBorder="1" applyAlignment="1">
      <alignment horizontal="center" vertical="center"/>
    </xf>
    <xf numFmtId="176" fontId="65" fillId="31" borderId="36" xfId="0" applyNumberFormat="1" applyFont="1" applyFill="1" applyBorder="1" applyAlignment="1">
      <alignment horizontal="center" vertical="center"/>
    </xf>
    <xf numFmtId="6" fontId="50" fillId="24" borderId="36" xfId="0" applyNumberFormat="1" applyFont="1" applyFill="1" applyBorder="1" applyAlignment="1">
      <alignment horizontal="center" vertical="center"/>
    </xf>
    <xf numFmtId="6" fontId="58" fillId="20" borderId="62" xfId="0" quotePrefix="1" applyNumberFormat="1" applyFont="1" applyFill="1" applyBorder="1" applyAlignment="1">
      <alignment horizontal="center" vertical="center" wrapText="1"/>
    </xf>
    <xf numFmtId="6" fontId="50" fillId="22" borderId="107" xfId="0" applyNumberFormat="1" applyFont="1" applyFill="1" applyBorder="1" applyAlignment="1">
      <alignment horizontal="center" vertical="center"/>
    </xf>
    <xf numFmtId="0" fontId="50" fillId="15" borderId="88" xfId="0" applyFont="1" applyFill="1" applyBorder="1" applyAlignment="1">
      <alignment horizontal="left" vertical="center" wrapText="1" indent="1" readingOrder="1"/>
    </xf>
    <xf numFmtId="0" fontId="56" fillId="27" borderId="106" xfId="0" applyFont="1" applyFill="1" applyBorder="1" applyAlignment="1">
      <alignment horizontal="left" vertical="center" wrapText="1" indent="1" readingOrder="1"/>
    </xf>
    <xf numFmtId="0" fontId="56" fillId="27" borderId="81" xfId="0" applyFont="1" applyFill="1" applyBorder="1" applyAlignment="1">
      <alignment horizontal="left" vertical="center" wrapText="1" indent="1" readingOrder="1"/>
    </xf>
    <xf numFmtId="173" fontId="56" fillId="27" borderId="81" xfId="0" applyNumberFormat="1" applyFont="1" applyFill="1" applyBorder="1" applyAlignment="1">
      <alignment horizontal="center" vertical="center"/>
    </xf>
    <xf numFmtId="0" fontId="56" fillId="27" borderId="107" xfId="0" applyFont="1" applyFill="1" applyBorder="1" applyAlignment="1">
      <alignment horizontal="left" vertical="center" wrapText="1" indent="1" readingOrder="1"/>
    </xf>
    <xf numFmtId="0" fontId="56" fillId="27" borderId="70" xfId="0" applyFont="1" applyFill="1" applyBorder="1" applyAlignment="1">
      <alignment horizontal="left" vertical="center" indent="1"/>
    </xf>
    <xf numFmtId="0" fontId="50" fillId="24" borderId="108" xfId="0" applyFont="1" applyFill="1" applyBorder="1" applyAlignment="1">
      <alignment horizontal="left" vertical="center" wrapText="1" indent="1" readingOrder="1"/>
    </xf>
    <xf numFmtId="0" fontId="50" fillId="24" borderId="70" xfId="0" applyFont="1" applyFill="1" applyBorder="1" applyAlignment="1">
      <alignment horizontal="center" vertical="center"/>
    </xf>
    <xf numFmtId="9" fontId="50" fillId="24" borderId="70" xfId="0" applyNumberFormat="1" applyFont="1" applyFill="1" applyBorder="1" applyAlignment="1">
      <alignment horizontal="center" vertical="center"/>
    </xf>
    <xf numFmtId="0" fontId="63" fillId="15" borderId="70" xfId="0" applyFont="1" applyFill="1" applyBorder="1" applyAlignment="1">
      <alignment horizontal="left" vertical="center" wrapText="1" indent="1" readingOrder="1"/>
    </xf>
    <xf numFmtId="0" fontId="63" fillId="15" borderId="88" xfId="0" applyFont="1" applyFill="1" applyBorder="1" applyAlignment="1">
      <alignment horizontal="left" vertical="center" wrapText="1" indent="1" readingOrder="1"/>
    </xf>
    <xf numFmtId="173" fontId="63" fillId="15" borderId="88" xfId="0" applyNumberFormat="1" applyFont="1" applyFill="1" applyBorder="1" applyAlignment="1">
      <alignment horizontal="center" vertical="center" wrapText="1" readingOrder="1"/>
    </xf>
    <xf numFmtId="4" fontId="56" fillId="27" borderId="109" xfId="0" applyNumberFormat="1" applyFont="1" applyFill="1" applyBorder="1" applyAlignment="1">
      <alignment horizontal="left" vertical="center" indent="1" readingOrder="1"/>
    </xf>
    <xf numFmtId="4" fontId="56" fillId="27" borderId="110" xfId="0" applyNumberFormat="1" applyFont="1" applyFill="1" applyBorder="1" applyAlignment="1">
      <alignment horizontal="left" vertical="center" indent="1" readingOrder="1"/>
    </xf>
    <xf numFmtId="4" fontId="56" fillId="27" borderId="94" xfId="0" applyNumberFormat="1" applyFont="1" applyFill="1" applyBorder="1" applyAlignment="1">
      <alignment horizontal="left" vertical="center" indent="1" readingOrder="1"/>
    </xf>
    <xf numFmtId="4" fontId="54" fillId="27" borderId="87" xfId="0" applyNumberFormat="1" applyFont="1" applyFill="1" applyBorder="1" applyAlignment="1">
      <alignment horizontal="left" vertical="center" indent="1" readingOrder="1"/>
    </xf>
    <xf numFmtId="4" fontId="54" fillId="27" borderId="83" xfId="0" applyNumberFormat="1" applyFont="1" applyFill="1" applyBorder="1" applyAlignment="1">
      <alignment horizontal="left" vertical="center" indent="1" readingOrder="1"/>
    </xf>
    <xf numFmtId="4" fontId="54" fillId="27" borderId="107" xfId="0" applyNumberFormat="1" applyFont="1" applyFill="1" applyBorder="1" applyAlignment="1">
      <alignment horizontal="left" vertical="center" indent="1" readingOrder="1"/>
    </xf>
    <xf numFmtId="4" fontId="56" fillId="27" borderId="95" xfId="0" applyNumberFormat="1" applyFont="1" applyFill="1" applyBorder="1" applyAlignment="1">
      <alignment horizontal="left" vertical="center" indent="1" readingOrder="1"/>
    </xf>
    <xf numFmtId="4" fontId="56" fillId="27" borderId="85" xfId="0" applyNumberFormat="1" applyFont="1" applyFill="1" applyBorder="1" applyAlignment="1">
      <alignment horizontal="left" vertical="center" indent="1" readingOrder="1"/>
    </xf>
    <xf numFmtId="4" fontId="56" fillId="27" borderId="106" xfId="0" applyNumberFormat="1" applyFont="1" applyFill="1" applyBorder="1" applyAlignment="1">
      <alignment horizontal="left" vertical="center" indent="1" readingOrder="1"/>
    </xf>
    <xf numFmtId="4" fontId="56" fillId="27" borderId="87" xfId="0" applyNumberFormat="1" applyFont="1" applyFill="1" applyBorder="1" applyAlignment="1">
      <alignment horizontal="left" vertical="center" indent="1" readingOrder="1"/>
    </xf>
    <xf numFmtId="4" fontId="56" fillId="27" borderId="83" xfId="0" applyNumberFormat="1" applyFont="1" applyFill="1" applyBorder="1" applyAlignment="1">
      <alignment horizontal="left" vertical="center" indent="1" readingOrder="1"/>
    </xf>
    <xf numFmtId="4" fontId="56" fillId="27" borderId="107" xfId="0" applyNumberFormat="1" applyFont="1" applyFill="1" applyBorder="1" applyAlignment="1">
      <alignment horizontal="left" vertical="center" indent="1" readingOrder="1"/>
    </xf>
    <xf numFmtId="0" fontId="65" fillId="20" borderId="68" xfId="0" applyFont="1" applyFill="1" applyBorder="1" applyAlignment="1">
      <alignment horizontal="center" vertical="center" wrapText="1" readingOrder="1"/>
    </xf>
    <xf numFmtId="9" fontId="3" fillId="2" borderId="0" xfId="0" applyNumberFormat="1" applyFont="1" applyFill="1"/>
    <xf numFmtId="37" fontId="3" fillId="2" borderId="0" xfId="0" applyNumberFormat="1" applyFont="1" applyFill="1"/>
    <xf numFmtId="5" fontId="66" fillId="0" borderId="2" xfId="0" applyNumberFormat="1" applyFont="1" applyBorder="1"/>
    <xf numFmtId="6" fontId="5" fillId="2" borderId="0" xfId="0" applyNumberFormat="1" applyFont="1" applyFill="1"/>
    <xf numFmtId="6" fontId="43" fillId="0" borderId="0" xfId="0" applyNumberFormat="1" applyFont="1" applyAlignment="1">
      <alignment wrapText="1"/>
    </xf>
    <xf numFmtId="5" fontId="43" fillId="3" borderId="0" xfId="0" applyNumberFormat="1" applyFont="1" applyFill="1" applyAlignment="1">
      <alignment horizontal="left" vertical="center" wrapText="1" indent="1"/>
    </xf>
    <xf numFmtId="0" fontId="0" fillId="0" borderId="0" xfId="0" applyAlignment="1">
      <alignment horizontal="center" vertical="center"/>
    </xf>
    <xf numFmtId="0" fontId="43" fillId="0" borderId="0" xfId="0" applyFont="1" applyAlignment="1">
      <alignment horizontal="center" vertical="center"/>
    </xf>
    <xf numFmtId="179" fontId="67" fillId="2" borderId="0" xfId="0" applyNumberFormat="1" applyFont="1" applyFill="1"/>
    <xf numFmtId="5" fontId="43" fillId="0" borderId="0" xfId="0" applyNumberFormat="1" applyFont="1"/>
    <xf numFmtId="0" fontId="43" fillId="33" borderId="0" xfId="0" applyFont="1" applyFill="1"/>
    <xf numFmtId="0" fontId="68" fillId="0" borderId="0" xfId="0" applyFont="1"/>
    <xf numFmtId="0" fontId="43" fillId="0" borderId="35" xfId="0" applyFont="1" applyBorder="1" applyAlignment="1">
      <alignment horizontal="left" vertical="center"/>
    </xf>
    <xf numFmtId="5" fontId="43" fillId="3" borderId="111" xfId="0" applyNumberFormat="1" applyFont="1" applyFill="1" applyBorder="1" applyAlignment="1">
      <alignment horizontal="left" vertical="center"/>
    </xf>
    <xf numFmtId="0" fontId="43" fillId="0" borderId="35" xfId="0" applyFont="1" applyBorder="1" applyAlignment="1">
      <alignment horizontal="center" vertical="center"/>
    </xf>
    <xf numFmtId="0" fontId="43" fillId="0" borderId="111" xfId="0" applyFont="1" applyBorder="1" applyAlignment="1">
      <alignment horizontal="center" vertical="center"/>
    </xf>
    <xf numFmtId="0" fontId="47" fillId="14" borderId="0" xfId="0" applyFont="1" applyFill="1"/>
    <xf numFmtId="0" fontId="47" fillId="15" borderId="0" xfId="0" applyFont="1" applyFill="1"/>
    <xf numFmtId="0" fontId="46" fillId="14" borderId="0" xfId="0" applyFont="1" applyFill="1"/>
    <xf numFmtId="0" fontId="46" fillId="15" borderId="0" xfId="0" applyFont="1" applyFill="1"/>
    <xf numFmtId="5" fontId="43" fillId="0" borderId="35" xfId="0" applyNumberFormat="1" applyFont="1" applyBorder="1" applyAlignment="1">
      <alignment vertical="center"/>
    </xf>
    <xf numFmtId="5" fontId="67" fillId="0" borderId="111" xfId="0" applyNumberFormat="1" applyFont="1" applyBorder="1" applyAlignment="1">
      <alignment horizontal="right" vertical="center"/>
    </xf>
    <xf numFmtId="5" fontId="43" fillId="0" borderId="35" xfId="0" applyNumberFormat="1" applyFont="1" applyBorder="1" applyAlignment="1">
      <alignment horizontal="right" vertical="center"/>
    </xf>
    <xf numFmtId="5" fontId="43" fillId="3" borderId="111" xfId="0" applyNumberFormat="1" applyFont="1" applyFill="1" applyBorder="1" applyAlignment="1">
      <alignment horizontal="left" vertical="center" indent="1"/>
    </xf>
    <xf numFmtId="0" fontId="43" fillId="0" borderId="111" xfId="0" applyFont="1" applyBorder="1"/>
    <xf numFmtId="0" fontId="43" fillId="34" borderId="0" xfId="0" applyFont="1" applyFill="1"/>
    <xf numFmtId="5" fontId="43" fillId="34" borderId="0" xfId="0" applyNumberFormat="1" applyFont="1" applyFill="1"/>
    <xf numFmtId="0" fontId="0" fillId="35" borderId="0" xfId="0" applyFill="1"/>
    <xf numFmtId="0" fontId="1" fillId="35" borderId="0" xfId="0" applyFont="1" applyFill="1" applyAlignment="1">
      <alignment vertical="center" wrapText="1"/>
    </xf>
    <xf numFmtId="6" fontId="1" fillId="35" borderId="0" xfId="0" applyNumberFormat="1" applyFont="1" applyFill="1" applyAlignment="1">
      <alignment horizontal="center"/>
    </xf>
    <xf numFmtId="0" fontId="0" fillId="35" borderId="28" xfId="0" applyFill="1" applyBorder="1"/>
    <xf numFmtId="0" fontId="1" fillId="35" borderId="28" xfId="0" applyFont="1" applyFill="1" applyBorder="1" applyAlignment="1">
      <alignment vertical="center" wrapText="1"/>
    </xf>
    <xf numFmtId="6" fontId="0" fillId="35" borderId="28" xfId="0" applyNumberFormat="1" applyFill="1" applyBorder="1" applyAlignment="1">
      <alignment horizontal="center" vertical="center" wrapText="1"/>
    </xf>
    <xf numFmtId="0" fontId="0" fillId="36" borderId="28" xfId="0" applyFill="1" applyBorder="1" applyAlignment="1">
      <alignment vertical="center" wrapText="1"/>
    </xf>
    <xf numFmtId="6" fontId="0" fillId="36" borderId="28" xfId="0" applyNumberFormat="1" applyFill="1" applyBorder="1" applyAlignment="1">
      <alignment horizontal="center" vertical="center" wrapText="1"/>
    </xf>
    <xf numFmtId="0" fontId="0" fillId="36" borderId="28" xfId="0" applyFill="1" applyBorder="1"/>
    <xf numFmtId="9" fontId="0" fillId="36" borderId="28" xfId="0" applyNumberFormat="1" applyFill="1" applyBorder="1" applyAlignment="1">
      <alignment horizontal="center"/>
    </xf>
    <xf numFmtId="0" fontId="0" fillId="36" borderId="28" xfId="0" applyFill="1" applyBorder="1" applyAlignment="1">
      <alignment horizontal="center"/>
    </xf>
    <xf numFmtId="0" fontId="0" fillId="36" borderId="28" xfId="0" applyFill="1" applyBorder="1" applyAlignment="1">
      <alignment horizontal="left" vertical="center" wrapText="1" indent="1"/>
    </xf>
    <xf numFmtId="10" fontId="0" fillId="36" borderId="28" xfId="0" applyNumberFormat="1" applyFill="1" applyBorder="1" applyAlignment="1">
      <alignment horizontal="center" vertical="center" wrapText="1"/>
    </xf>
    <xf numFmtId="9" fontId="0" fillId="36" borderId="28" xfId="0" applyNumberFormat="1" applyFill="1" applyBorder="1" applyAlignment="1">
      <alignment horizontal="center" vertical="center" wrapText="1"/>
    </xf>
    <xf numFmtId="6" fontId="0" fillId="35" borderId="0" xfId="0" applyNumberFormat="1" applyFill="1" applyAlignment="1">
      <alignment horizontal="center"/>
    </xf>
    <xf numFmtId="0" fontId="69" fillId="19" borderId="0" xfId="0" applyFont="1" applyFill="1" applyAlignment="1">
      <alignment vertical="center" wrapText="1"/>
    </xf>
    <xf numFmtId="0" fontId="2" fillId="19" borderId="0" xfId="0" applyFont="1" applyFill="1"/>
    <xf numFmtId="6" fontId="69" fillId="19" borderId="0" xfId="0" applyNumberFormat="1" applyFont="1" applyFill="1" applyAlignment="1">
      <alignment horizontal="center" vertical="center"/>
    </xf>
    <xf numFmtId="0" fontId="43" fillId="34" borderId="37" xfId="0" applyFont="1" applyFill="1" applyBorder="1"/>
    <xf numFmtId="5" fontId="43" fillId="3" borderId="33" xfId="0" applyNumberFormat="1" applyFont="1" applyFill="1" applyBorder="1" applyAlignment="1">
      <alignment horizontal="left" vertical="center"/>
    </xf>
    <xf numFmtId="0" fontId="43" fillId="0" borderId="112" xfId="0" applyFont="1" applyBorder="1" applyAlignment="1">
      <alignment horizontal="center" vertical="center"/>
    </xf>
    <xf numFmtId="5" fontId="67" fillId="0" borderId="33" xfId="0" applyNumberFormat="1" applyFont="1" applyBorder="1" applyAlignment="1">
      <alignment horizontal="right" vertical="center"/>
    </xf>
    <xf numFmtId="5" fontId="43" fillId="3" borderId="33" xfId="0" applyNumberFormat="1" applyFont="1" applyFill="1" applyBorder="1" applyAlignment="1">
      <alignment horizontal="right" vertical="center" wrapText="1" indent="1"/>
    </xf>
    <xf numFmtId="0" fontId="46" fillId="19" borderId="0" xfId="0" applyFont="1" applyFill="1"/>
    <xf numFmtId="0" fontId="47" fillId="19" borderId="0" xfId="0" applyFont="1" applyFill="1"/>
    <xf numFmtId="171" fontId="34" fillId="0" borderId="0" xfId="0" applyNumberFormat="1" applyFont="1" applyAlignment="1">
      <alignment horizontal="centerContinuous"/>
    </xf>
    <xf numFmtId="175" fontId="16" fillId="3" borderId="25" xfId="0" applyNumberFormat="1" applyFont="1" applyFill="1" applyBorder="1"/>
    <xf numFmtId="175" fontId="16" fillId="3" borderId="0" xfId="0" applyNumberFormat="1" applyFont="1" applyFill="1"/>
    <xf numFmtId="175" fontId="17" fillId="3" borderId="11" xfId="0" applyNumberFormat="1" applyFont="1" applyFill="1" applyBorder="1"/>
    <xf numFmtId="5" fontId="17" fillId="9" borderId="25" xfId="0" applyNumberFormat="1" applyFont="1" applyFill="1" applyBorder="1"/>
    <xf numFmtId="5" fontId="17" fillId="9" borderId="0" xfId="0" applyNumberFormat="1" applyFont="1" applyFill="1"/>
    <xf numFmtId="0" fontId="17" fillId="0" borderId="10" xfId="0" applyFont="1" applyBorder="1"/>
    <xf numFmtId="175" fontId="16" fillId="37" borderId="0" xfId="0" applyNumberFormat="1" applyFont="1" applyFill="1"/>
    <xf numFmtId="0" fontId="0" fillId="35" borderId="1" xfId="0" applyFill="1" applyBorder="1" applyAlignment="1">
      <alignment horizontal="center"/>
    </xf>
    <xf numFmtId="0" fontId="0" fillId="3" borderId="0" xfId="0" applyFill="1" applyAlignment="1">
      <alignment vertical="center" wrapText="1"/>
    </xf>
    <xf numFmtId="6" fontId="0" fillId="3" borderId="0" xfId="0" applyNumberFormat="1" applyFill="1" applyAlignment="1">
      <alignment horizontal="center"/>
    </xf>
    <xf numFmtId="0" fontId="0" fillId="3" borderId="0" xfId="0" applyFill="1" applyAlignment="1">
      <alignment horizontal="center" vertical="center"/>
    </xf>
    <xf numFmtId="5" fontId="0" fillId="3" borderId="0" xfId="0" applyNumberFormat="1" applyFill="1" applyAlignment="1">
      <alignment horizontal="center" vertical="center"/>
    </xf>
    <xf numFmtId="170" fontId="48" fillId="9" borderId="53" xfId="0" applyNumberFormat="1" applyFont="1" applyFill="1" applyBorder="1" applyAlignment="1">
      <alignment horizontal="center" vertical="center" wrapText="1"/>
    </xf>
    <xf numFmtId="170" fontId="48" fillId="9" borderId="58" xfId="0" applyNumberFormat="1" applyFont="1" applyFill="1" applyBorder="1" applyAlignment="1">
      <alignment horizontal="center" vertical="center" wrapText="1"/>
    </xf>
    <xf numFmtId="0" fontId="70" fillId="0" borderId="0" xfId="0" applyFont="1"/>
    <xf numFmtId="10" fontId="70" fillId="0" borderId="0" xfId="0" applyNumberFormat="1" applyFont="1"/>
    <xf numFmtId="181" fontId="70" fillId="0" borderId="0" xfId="0" applyNumberFormat="1" applyFont="1"/>
    <xf numFmtId="0" fontId="69" fillId="32" borderId="0" xfId="0" applyFont="1" applyFill="1"/>
    <xf numFmtId="0" fontId="0" fillId="32" borderId="0" xfId="0" applyFill="1"/>
    <xf numFmtId="37" fontId="0" fillId="32" borderId="0" xfId="0" applyNumberFormat="1" applyFill="1"/>
    <xf numFmtId="180" fontId="0" fillId="2" borderId="0" xfId="0" applyNumberFormat="1" applyFill="1"/>
    <xf numFmtId="37" fontId="70" fillId="0" borderId="0" xfId="0" applyNumberFormat="1" applyFont="1"/>
    <xf numFmtId="37" fontId="71" fillId="0" borderId="0" xfId="0" applyNumberFormat="1" applyFont="1"/>
    <xf numFmtId="10" fontId="72" fillId="0" borderId="0" xfId="0" applyNumberFormat="1" applyFont="1"/>
    <xf numFmtId="9" fontId="9" fillId="0" borderId="0" xfId="0" applyNumberFormat="1" applyFont="1"/>
    <xf numFmtId="181" fontId="74" fillId="0" borderId="0" xfId="0" applyNumberFormat="1" applyFont="1"/>
    <xf numFmtId="0" fontId="70" fillId="0" borderId="0" xfId="0" applyFont="1" applyAlignment="1">
      <alignment horizontal="left" indent="1"/>
    </xf>
    <xf numFmtId="0" fontId="1" fillId="35" borderId="0" xfId="0" applyFont="1" applyFill="1"/>
    <xf numFmtId="10" fontId="0" fillId="35" borderId="0" xfId="0" applyNumberFormat="1" applyFill="1"/>
    <xf numFmtId="37" fontId="0" fillId="35" borderId="0" xfId="0" applyNumberFormat="1" applyFill="1"/>
    <xf numFmtId="181" fontId="0" fillId="0" borderId="0" xfId="0" applyNumberFormat="1"/>
    <xf numFmtId="6" fontId="14" fillId="0" borderId="0" xfId="0" applyNumberFormat="1" applyFont="1"/>
    <xf numFmtId="37" fontId="71" fillId="2" borderId="0" xfId="0" applyNumberFormat="1" applyFont="1" applyFill="1"/>
    <xf numFmtId="0" fontId="1" fillId="27" borderId="0" xfId="0" applyFont="1" applyFill="1"/>
    <xf numFmtId="10" fontId="1" fillId="27" borderId="0" xfId="0" applyNumberFormat="1" applyFont="1" applyFill="1"/>
    <xf numFmtId="37" fontId="1" fillId="27" borderId="0" xfId="0" applyNumberFormat="1" applyFont="1" applyFill="1"/>
    <xf numFmtId="37" fontId="9" fillId="3" borderId="23" xfId="0" applyNumberFormat="1" applyFont="1" applyFill="1" applyBorder="1"/>
    <xf numFmtId="0" fontId="73" fillId="2" borderId="0" xfId="0" applyFont="1" applyFill="1"/>
    <xf numFmtId="37" fontId="73" fillId="2" borderId="0" xfId="0" applyNumberFormat="1" applyFont="1" applyFill="1"/>
    <xf numFmtId="37" fontId="0" fillId="4" borderId="0" xfId="0" applyNumberFormat="1" applyFill="1"/>
    <xf numFmtId="0" fontId="44" fillId="20" borderId="74" xfId="0" applyFont="1" applyFill="1" applyBorder="1" applyAlignment="1">
      <alignment horizontal="centerContinuous" vertical="center" wrapText="1"/>
    </xf>
    <xf numFmtId="6" fontId="49" fillId="18" borderId="56" xfId="0" applyNumberFormat="1" applyFont="1" applyFill="1" applyBorder="1" applyAlignment="1">
      <alignment horizontal="left" vertical="center" wrapText="1" indent="1"/>
    </xf>
    <xf numFmtId="6" fontId="49" fillId="18" borderId="57" xfId="0" applyNumberFormat="1" applyFont="1" applyFill="1" applyBorder="1" applyAlignment="1">
      <alignment horizontal="left" vertical="center" wrapText="1" indent="1"/>
    </xf>
    <xf numFmtId="182" fontId="43" fillId="18" borderId="32" xfId="0" applyNumberFormat="1" applyFont="1" applyFill="1" applyBorder="1" applyAlignment="1">
      <alignment horizontal="left" vertical="center" wrapText="1" indent="1"/>
    </xf>
    <xf numFmtId="6" fontId="43" fillId="18" borderId="36" xfId="0" applyNumberFormat="1" applyFont="1" applyFill="1" applyBorder="1" applyAlignment="1">
      <alignment horizontal="center" vertical="center" wrapText="1"/>
    </xf>
    <xf numFmtId="0" fontId="44" fillId="20" borderId="72" xfId="0" applyFont="1" applyFill="1" applyBorder="1" applyAlignment="1">
      <alignment horizontal="centerContinuous" vertical="center" wrapText="1"/>
    </xf>
    <xf numFmtId="9" fontId="46" fillId="22" borderId="117" xfId="0" applyNumberFormat="1" applyFont="1" applyFill="1" applyBorder="1" applyAlignment="1">
      <alignment horizontal="left" vertical="center" wrapText="1" indent="1"/>
    </xf>
    <xf numFmtId="6" fontId="46" fillId="22" borderId="118" xfId="0" applyNumberFormat="1" applyFont="1" applyFill="1" applyBorder="1" applyAlignment="1">
      <alignment horizontal="left" vertical="center" wrapText="1" indent="1"/>
    </xf>
    <xf numFmtId="6" fontId="46" fillId="22" borderId="119" xfId="0" applyNumberFormat="1" applyFont="1" applyFill="1" applyBorder="1" applyAlignment="1">
      <alignment horizontal="left" vertical="center" wrapText="1" indent="1"/>
    </xf>
    <xf numFmtId="6" fontId="46" fillId="22" borderId="119" xfId="0" applyNumberFormat="1" applyFont="1" applyFill="1" applyBorder="1" applyAlignment="1">
      <alignment horizontal="center" vertical="center" wrapText="1"/>
    </xf>
    <xf numFmtId="0" fontId="44" fillId="20" borderId="120" xfId="0" applyFont="1" applyFill="1" applyBorder="1" applyAlignment="1">
      <alignment horizontal="centerContinuous" vertical="center" wrapText="1"/>
    </xf>
    <xf numFmtId="0" fontId="44" fillId="20" borderId="121" xfId="0" applyFont="1" applyFill="1" applyBorder="1" applyAlignment="1">
      <alignment horizontal="centerContinuous" vertical="center" wrapText="1"/>
    </xf>
    <xf numFmtId="182" fontId="46" fillId="22" borderId="29" xfId="0" applyNumberFormat="1" applyFont="1" applyFill="1" applyBorder="1" applyAlignment="1">
      <alignment horizontal="left" vertical="center" wrapText="1" indent="1"/>
    </xf>
    <xf numFmtId="0" fontId="44" fillId="20" borderId="122" xfId="0" applyFont="1" applyFill="1" applyBorder="1" applyAlignment="1">
      <alignment horizontal="centerContinuous" vertical="center" wrapText="1"/>
    </xf>
    <xf numFmtId="9" fontId="49" fillId="18" borderId="114" xfId="0" applyNumberFormat="1" applyFont="1" applyFill="1" applyBorder="1" applyAlignment="1">
      <alignment horizontal="left" vertical="center" wrapText="1" indent="1"/>
    </xf>
    <xf numFmtId="6" fontId="46" fillId="22" borderId="116" xfId="0" applyNumberFormat="1" applyFont="1" applyFill="1" applyBorder="1" applyAlignment="1">
      <alignment horizontal="left" vertical="center" wrapText="1" indent="1"/>
    </xf>
    <xf numFmtId="0" fontId="48" fillId="3" borderId="53" xfId="0" applyFont="1" applyFill="1" applyBorder="1" applyAlignment="1">
      <alignment horizontal="centerContinuous" vertical="center" wrapText="1"/>
    </xf>
    <xf numFmtId="0" fontId="48" fillId="20" borderId="123" xfId="0" applyFont="1" applyFill="1" applyBorder="1" applyAlignment="1">
      <alignment horizontal="center" vertical="center" wrapText="1"/>
    </xf>
    <xf numFmtId="169" fontId="48" fillId="9" borderId="124" xfId="0" applyNumberFormat="1" applyFont="1" applyFill="1" applyBorder="1" applyAlignment="1">
      <alignment horizontal="center" vertical="center" wrapText="1"/>
    </xf>
    <xf numFmtId="0" fontId="45" fillId="20" borderId="61" xfId="0" applyFont="1" applyFill="1" applyBorder="1" applyAlignment="1">
      <alignment horizontal="centerContinuous" vertical="center" wrapText="1"/>
    </xf>
    <xf numFmtId="6" fontId="3" fillId="2" borderId="1" xfId="0" applyNumberFormat="1" applyFont="1" applyFill="1" applyBorder="1"/>
    <xf numFmtId="165" fontId="3" fillId="0" borderId="0" xfId="0" applyNumberFormat="1" applyFont="1"/>
    <xf numFmtId="9" fontId="3" fillId="31" borderId="0" xfId="0" applyNumberFormat="1" applyFont="1" applyFill="1"/>
    <xf numFmtId="0" fontId="0" fillId="31" borderId="0" xfId="0" applyFill="1"/>
    <xf numFmtId="9" fontId="0" fillId="31" borderId="0" xfId="0" applyNumberFormat="1" applyFill="1"/>
    <xf numFmtId="9" fontId="3" fillId="31" borderId="1" xfId="0" applyNumberFormat="1" applyFont="1" applyFill="1" applyBorder="1"/>
    <xf numFmtId="0" fontId="0" fillId="31" borderId="1" xfId="0" applyFill="1" applyBorder="1"/>
    <xf numFmtId="6" fontId="48" fillId="9" borderId="125" xfId="0" applyNumberFormat="1" applyFont="1" applyFill="1" applyBorder="1" applyAlignment="1">
      <alignment horizontal="left" vertical="center" wrapText="1" indent="1"/>
    </xf>
    <xf numFmtId="6" fontId="48" fillId="9" borderId="126" xfId="0" applyNumberFormat="1" applyFont="1" applyFill="1" applyBorder="1" applyAlignment="1">
      <alignment horizontal="left" vertical="center" wrapText="1" indent="1"/>
    </xf>
    <xf numFmtId="6" fontId="48" fillId="9" borderId="127" xfId="0" applyNumberFormat="1" applyFont="1" applyFill="1" applyBorder="1" applyAlignment="1">
      <alignment horizontal="left" vertical="center" wrapText="1" indent="1"/>
    </xf>
    <xf numFmtId="9" fontId="9" fillId="35" borderId="0" xfId="0" applyNumberFormat="1" applyFont="1" applyFill="1"/>
    <xf numFmtId="8" fontId="43" fillId="0" borderId="0" xfId="0" applyNumberFormat="1" applyFont="1"/>
    <xf numFmtId="0" fontId="44" fillId="20" borderId="128" xfId="0" applyFont="1" applyFill="1" applyBorder="1" applyAlignment="1">
      <alignment horizontal="center" vertical="center" wrapText="1"/>
    </xf>
    <xf numFmtId="0" fontId="48" fillId="20" borderId="128" xfId="0" applyFont="1" applyFill="1" applyBorder="1" applyAlignment="1">
      <alignment horizontal="center" vertical="center" wrapText="1"/>
    </xf>
    <xf numFmtId="10" fontId="48" fillId="9" borderId="86" xfId="0" applyNumberFormat="1" applyFont="1" applyFill="1" applyBorder="1" applyAlignment="1">
      <alignment horizontal="left" vertical="center" wrapText="1" indent="1"/>
    </xf>
    <xf numFmtId="10" fontId="48" fillId="9" borderId="36" xfId="0" applyNumberFormat="1" applyFont="1" applyFill="1" applyBorder="1" applyAlignment="1">
      <alignment horizontal="left" vertical="center" wrapText="1" indent="1"/>
    </xf>
    <xf numFmtId="183" fontId="48" fillId="9" borderId="36" xfId="0" applyNumberFormat="1" applyFont="1" applyFill="1" applyBorder="1" applyAlignment="1">
      <alignment horizontal="left" vertical="center" wrapText="1" indent="1"/>
    </xf>
    <xf numFmtId="170" fontId="48" fillId="9" borderId="36" xfId="0" applyNumberFormat="1" applyFont="1" applyFill="1" applyBorder="1" applyAlignment="1">
      <alignment horizontal="left" vertical="center" wrapText="1" indent="1"/>
    </xf>
    <xf numFmtId="169" fontId="46" fillId="21" borderId="129" xfId="0" applyNumberFormat="1" applyFont="1" applyFill="1" applyBorder="1" applyAlignment="1">
      <alignment horizontal="left" vertical="center" indent="1"/>
    </xf>
    <xf numFmtId="0" fontId="44" fillId="20" borderId="131" xfId="0" applyFont="1" applyFill="1" applyBorder="1" applyAlignment="1">
      <alignment horizontal="center" vertical="center" wrapText="1"/>
    </xf>
    <xf numFmtId="0" fontId="44" fillId="20" borderId="130" xfId="0" applyFont="1" applyFill="1" applyBorder="1" applyAlignment="1">
      <alignment horizontal="centerContinuous" vertical="center" wrapText="1"/>
    </xf>
    <xf numFmtId="9" fontId="43" fillId="0" borderId="0" xfId="0" applyNumberFormat="1" applyFont="1" applyAlignment="1">
      <alignment vertical="center"/>
    </xf>
    <xf numFmtId="10" fontId="76" fillId="0" borderId="0" xfId="0" applyNumberFormat="1" applyFont="1" applyAlignment="1">
      <alignment vertical="center"/>
    </xf>
    <xf numFmtId="168" fontId="76" fillId="0" borderId="0" xfId="0" applyNumberFormat="1" applyFont="1" applyAlignment="1">
      <alignment vertical="center"/>
    </xf>
    <xf numFmtId="10" fontId="67" fillId="2" borderId="0" xfId="0" applyNumberFormat="1" applyFont="1" applyFill="1" applyAlignment="1">
      <alignment vertical="center"/>
    </xf>
    <xf numFmtId="168" fontId="43" fillId="0" borderId="0" xfId="0" applyNumberFormat="1" applyFont="1" applyAlignment="1">
      <alignment vertical="center"/>
    </xf>
    <xf numFmtId="184" fontId="43" fillId="0" borderId="0" xfId="0" applyNumberFormat="1" applyFont="1" applyAlignment="1">
      <alignment vertical="center"/>
    </xf>
    <xf numFmtId="6" fontId="46" fillId="21" borderId="132" xfId="0" applyNumberFormat="1" applyFont="1" applyFill="1" applyBorder="1" applyAlignment="1">
      <alignment horizontal="left" vertical="center" wrapText="1" indent="1"/>
    </xf>
    <xf numFmtId="171" fontId="76" fillId="0" borderId="0" xfId="0" applyNumberFormat="1" applyFont="1" applyAlignment="1">
      <alignment vertical="center"/>
    </xf>
    <xf numFmtId="7" fontId="16" fillId="0" borderId="0" xfId="0" applyNumberFormat="1" applyFont="1"/>
    <xf numFmtId="0" fontId="77" fillId="0" borderId="0" xfId="0" applyFont="1" applyAlignment="1">
      <alignment horizontal="center"/>
    </xf>
    <xf numFmtId="0" fontId="80" fillId="38" borderId="70" xfId="0" applyFont="1" applyFill="1" applyBorder="1" applyAlignment="1">
      <alignment horizontal="left" vertical="center" wrapText="1" indent="1" readingOrder="1"/>
    </xf>
    <xf numFmtId="6" fontId="82" fillId="38" borderId="70" xfId="0" applyNumberFormat="1" applyFont="1" applyFill="1" applyBorder="1" applyAlignment="1">
      <alignment horizontal="left" vertical="center" wrapText="1" indent="1" readingOrder="1"/>
    </xf>
    <xf numFmtId="0" fontId="78" fillId="38" borderId="70" xfId="0" applyFont="1" applyFill="1" applyBorder="1" applyAlignment="1">
      <alignment horizontal="left" vertical="top" wrapText="1" indent="1"/>
    </xf>
    <xf numFmtId="171" fontId="82" fillId="38" borderId="70" xfId="0" applyNumberFormat="1" applyFont="1" applyFill="1" applyBorder="1" applyAlignment="1">
      <alignment horizontal="left" vertical="center" wrapText="1" indent="1" readingOrder="1"/>
    </xf>
    <xf numFmtId="0" fontId="83" fillId="38" borderId="70" xfId="0" applyFont="1" applyFill="1" applyBorder="1" applyAlignment="1">
      <alignment horizontal="left" vertical="center" wrapText="1" indent="1" readingOrder="1"/>
    </xf>
    <xf numFmtId="6" fontId="79" fillId="15" borderId="70" xfId="0" applyNumberFormat="1" applyFont="1" applyFill="1" applyBorder="1" applyAlignment="1">
      <alignment horizontal="left" vertical="center" wrapText="1" indent="1" readingOrder="1"/>
    </xf>
    <xf numFmtId="0" fontId="84" fillId="15" borderId="70" xfId="0" applyFont="1" applyFill="1" applyBorder="1" applyAlignment="1">
      <alignment horizontal="left" vertical="center" wrapText="1" indent="1" readingOrder="1"/>
    </xf>
    <xf numFmtId="185" fontId="82" fillId="38" borderId="70" xfId="0" applyNumberFormat="1" applyFont="1" applyFill="1" applyBorder="1" applyAlignment="1">
      <alignment horizontal="left" vertical="center" wrapText="1" indent="1" readingOrder="1"/>
    </xf>
    <xf numFmtId="0" fontId="85" fillId="15" borderId="87" xfId="0" applyFont="1" applyFill="1" applyBorder="1" applyAlignment="1">
      <alignment horizontal="center" wrapText="1" readingOrder="1"/>
    </xf>
    <xf numFmtId="6" fontId="86" fillId="38" borderId="70" xfId="0" applyNumberFormat="1" applyFont="1" applyFill="1" applyBorder="1" applyAlignment="1">
      <alignment horizontal="center" wrapText="1" readingOrder="1"/>
    </xf>
    <xf numFmtId="0" fontId="87" fillId="15" borderId="70" xfId="0" applyFont="1" applyFill="1" applyBorder="1" applyAlignment="1">
      <alignment horizontal="center" vertical="center" wrapText="1" readingOrder="1"/>
    </xf>
    <xf numFmtId="0" fontId="88" fillId="15" borderId="70" xfId="0" applyFont="1" applyFill="1" applyBorder="1" applyAlignment="1">
      <alignment horizontal="left" vertical="center" wrapText="1" indent="1" readingOrder="1"/>
    </xf>
    <xf numFmtId="0" fontId="80" fillId="38" borderId="70" xfId="0" applyFont="1" applyFill="1" applyBorder="1" applyAlignment="1">
      <alignment horizontal="left" vertical="center" wrapText="1" indent="2" readingOrder="1"/>
    </xf>
    <xf numFmtId="0" fontId="82" fillId="38" borderId="70" xfId="0" applyFont="1" applyFill="1" applyBorder="1" applyAlignment="1">
      <alignment horizontal="left" vertical="center" wrapText="1" indent="3" readingOrder="1"/>
    </xf>
    <xf numFmtId="9" fontId="88" fillId="15" borderId="85" xfId="0" applyNumberFormat="1" applyFont="1" applyFill="1" applyBorder="1" applyAlignment="1">
      <alignment horizontal="center" vertical="center" wrapText="1" readingOrder="1"/>
    </xf>
    <xf numFmtId="0" fontId="88" fillId="30" borderId="70" xfId="0" applyFont="1" applyFill="1" applyBorder="1" applyAlignment="1">
      <alignment horizontal="left" vertical="center" wrapText="1" indent="1" readingOrder="1"/>
    </xf>
    <xf numFmtId="6" fontId="88" fillId="15" borderId="70" xfId="0" applyNumberFormat="1" applyFont="1" applyFill="1" applyBorder="1" applyAlignment="1">
      <alignment horizontal="center" vertical="center" wrapText="1" readingOrder="1"/>
    </xf>
    <xf numFmtId="6" fontId="88" fillId="30" borderId="81" xfId="0" applyNumberFormat="1" applyFont="1" applyFill="1" applyBorder="1" applyAlignment="1">
      <alignment horizontal="right" vertical="center" wrapText="1" indent="2" readingOrder="1"/>
    </xf>
    <xf numFmtId="0" fontId="0" fillId="0" borderId="0" xfId="0" applyAlignment="1">
      <alignment horizontal="right" indent="2"/>
    </xf>
    <xf numFmtId="171" fontId="82" fillId="38" borderId="70" xfId="0" applyNumberFormat="1" applyFont="1" applyFill="1" applyBorder="1" applyAlignment="1">
      <alignment horizontal="right" vertical="center" wrapText="1" indent="2" readingOrder="1"/>
    </xf>
    <xf numFmtId="171" fontId="80" fillId="38" borderId="70" xfId="0" applyNumberFormat="1" applyFont="1" applyFill="1" applyBorder="1" applyAlignment="1">
      <alignment horizontal="right" vertical="center" wrapText="1" indent="2" readingOrder="1"/>
    </xf>
    <xf numFmtId="171" fontId="80" fillId="20" borderId="70" xfId="0" applyNumberFormat="1" applyFont="1" applyFill="1" applyBorder="1" applyAlignment="1">
      <alignment horizontal="right" vertical="center" wrapText="1" indent="2" readingOrder="1"/>
    </xf>
    <xf numFmtId="171" fontId="82" fillId="20" borderId="70" xfId="0" applyNumberFormat="1" applyFont="1" applyFill="1" applyBorder="1" applyAlignment="1">
      <alignment horizontal="right" vertical="center" wrapText="1" indent="2" readingOrder="1"/>
    </xf>
    <xf numFmtId="0" fontId="44" fillId="20" borderId="41" xfId="0" applyFont="1" applyFill="1" applyBorder="1" applyAlignment="1">
      <alignment horizontal="left" vertical="center" wrapText="1" indent="1"/>
    </xf>
    <xf numFmtId="10" fontId="44" fillId="20" borderId="38" xfId="0" applyNumberFormat="1" applyFont="1" applyFill="1" applyBorder="1" applyAlignment="1">
      <alignment horizontal="left" vertical="center" wrapText="1" indent="1"/>
    </xf>
    <xf numFmtId="0" fontId="44" fillId="20" borderId="133" xfId="0" applyFont="1" applyFill="1" applyBorder="1" applyAlignment="1">
      <alignment horizontal="center" vertical="center" wrapText="1"/>
    </xf>
    <xf numFmtId="170" fontId="44" fillId="20" borderId="38" xfId="0" applyNumberFormat="1" applyFont="1" applyFill="1" applyBorder="1" applyAlignment="1">
      <alignment horizontal="left" vertical="center" wrapText="1" indent="1"/>
    </xf>
    <xf numFmtId="0" fontId="44" fillId="20" borderId="134" xfId="0" applyFont="1" applyFill="1" applyBorder="1" applyAlignment="1">
      <alignment horizontal="center" vertical="center" wrapText="1"/>
    </xf>
    <xf numFmtId="0" fontId="44" fillId="20" borderId="135" xfId="0" applyFont="1" applyFill="1" applyBorder="1" applyAlignment="1">
      <alignment horizontal="center" vertical="center" wrapText="1"/>
    </xf>
    <xf numFmtId="171" fontId="48" fillId="9" borderId="136" xfId="0" applyNumberFormat="1" applyFont="1" applyFill="1" applyBorder="1" applyAlignment="1">
      <alignment horizontal="center" vertical="center" wrapText="1"/>
    </xf>
    <xf numFmtId="9" fontId="88" fillId="15" borderId="139" xfId="0" applyNumberFormat="1" applyFont="1" applyFill="1" applyBorder="1" applyAlignment="1">
      <alignment horizontal="center" vertical="center" wrapText="1" readingOrder="1"/>
    </xf>
    <xf numFmtId="0" fontId="82" fillId="38" borderId="70" xfId="0" applyFont="1" applyFill="1" applyBorder="1" applyAlignment="1">
      <alignment horizontal="left" vertical="center" wrapText="1" indent="4" readingOrder="1"/>
    </xf>
    <xf numFmtId="3" fontId="82" fillId="38" borderId="70" xfId="0" applyNumberFormat="1" applyFont="1" applyFill="1" applyBorder="1" applyAlignment="1">
      <alignment horizontal="right" vertical="center" wrapText="1" indent="2" readingOrder="1"/>
    </xf>
    <xf numFmtId="10" fontId="82" fillId="38" borderId="140" xfId="0" applyNumberFormat="1" applyFont="1" applyFill="1" applyBorder="1" applyAlignment="1">
      <alignment horizontal="right" vertical="center" wrapText="1" indent="2" readingOrder="1"/>
    </xf>
    <xf numFmtId="10" fontId="80" fillId="38" borderId="140" xfId="0" applyNumberFormat="1" applyFont="1" applyFill="1" applyBorder="1" applyAlignment="1">
      <alignment horizontal="right" vertical="center" wrapText="1" indent="2" readingOrder="1"/>
    </xf>
    <xf numFmtId="10" fontId="80" fillId="38" borderId="70" xfId="0" applyNumberFormat="1" applyFont="1" applyFill="1" applyBorder="1" applyAlignment="1">
      <alignment horizontal="right" vertical="center" wrapText="1" indent="2" readingOrder="1"/>
    </xf>
    <xf numFmtId="10" fontId="82" fillId="38" borderId="70" xfId="0" applyNumberFormat="1" applyFont="1" applyFill="1" applyBorder="1" applyAlignment="1">
      <alignment horizontal="right" vertical="center" wrapText="1" indent="2" readingOrder="1"/>
    </xf>
    <xf numFmtId="10" fontId="88" fillId="30" borderId="31" xfId="0" applyNumberFormat="1" applyFont="1" applyFill="1" applyBorder="1" applyAlignment="1">
      <alignment horizontal="right" vertical="center" wrapText="1" indent="2" readingOrder="1"/>
    </xf>
    <xf numFmtId="10" fontId="88" fillId="30" borderId="0" xfId="0" applyNumberFormat="1" applyFont="1" applyFill="1" applyAlignment="1">
      <alignment horizontal="right" vertical="center" wrapText="1" indent="2" readingOrder="1"/>
    </xf>
    <xf numFmtId="3" fontId="82" fillId="38" borderId="81" xfId="0" applyNumberFormat="1" applyFont="1" applyFill="1" applyBorder="1" applyAlignment="1">
      <alignment horizontal="right" vertical="center" wrapText="1" indent="2" readingOrder="1"/>
    </xf>
    <xf numFmtId="10" fontId="88" fillId="30" borderId="140" xfId="0" applyNumberFormat="1" applyFont="1" applyFill="1" applyBorder="1" applyAlignment="1">
      <alignment horizontal="right" vertical="center" wrapText="1" indent="2" readingOrder="1"/>
    </xf>
    <xf numFmtId="10" fontId="88" fillId="30" borderId="87" xfId="0" applyNumberFormat="1" applyFont="1" applyFill="1" applyBorder="1" applyAlignment="1">
      <alignment horizontal="right" vertical="center" wrapText="1" indent="2" readingOrder="1"/>
    </xf>
    <xf numFmtId="0" fontId="88" fillId="23" borderId="70" xfId="0" applyFont="1" applyFill="1" applyBorder="1" applyAlignment="1">
      <alignment horizontal="left" vertical="center" wrapText="1" indent="1" readingOrder="1"/>
    </xf>
    <xf numFmtId="6" fontId="88" fillId="23" borderId="81" xfId="0" applyNumberFormat="1" applyFont="1" applyFill="1" applyBorder="1" applyAlignment="1">
      <alignment horizontal="right" vertical="center" wrapText="1" indent="2" readingOrder="1"/>
    </xf>
    <xf numFmtId="10" fontId="88" fillId="23" borderId="139" xfId="0" applyNumberFormat="1" applyFont="1" applyFill="1" applyBorder="1" applyAlignment="1">
      <alignment horizontal="right" vertical="center" wrapText="1" indent="2" readingOrder="1"/>
    </xf>
    <xf numFmtId="0" fontId="0" fillId="23" borderId="85" xfId="0" applyFill="1" applyBorder="1" applyAlignment="1">
      <alignment horizontal="right" indent="2"/>
    </xf>
    <xf numFmtId="10" fontId="88" fillId="23" borderId="85" xfId="0" applyNumberFormat="1" applyFont="1" applyFill="1" applyBorder="1" applyAlignment="1">
      <alignment horizontal="right" vertical="center" wrapText="1" indent="2" readingOrder="1"/>
    </xf>
    <xf numFmtId="0" fontId="88" fillId="39" borderId="70" xfId="0" applyFont="1" applyFill="1" applyBorder="1" applyAlignment="1">
      <alignment horizontal="left" vertical="center" wrapText="1" indent="1" readingOrder="1"/>
    </xf>
    <xf numFmtId="6" fontId="88" fillId="39" borderId="70" xfId="0" applyNumberFormat="1" applyFont="1" applyFill="1" applyBorder="1" applyAlignment="1">
      <alignment horizontal="right" vertical="center" wrapText="1" indent="2" readingOrder="1"/>
    </xf>
    <xf numFmtId="10" fontId="88" fillId="39" borderId="142" xfId="0" applyNumberFormat="1" applyFont="1" applyFill="1" applyBorder="1" applyAlignment="1">
      <alignment horizontal="right" vertical="center" wrapText="1" indent="2" readingOrder="1"/>
    </xf>
    <xf numFmtId="0" fontId="0" fillId="39" borderId="83" xfId="0" applyFill="1" applyBorder="1" applyAlignment="1">
      <alignment horizontal="right" indent="2"/>
    </xf>
    <xf numFmtId="10" fontId="88" fillId="39" borderId="83" xfId="0" applyNumberFormat="1" applyFont="1" applyFill="1" applyBorder="1" applyAlignment="1">
      <alignment horizontal="right" vertical="center" wrapText="1" indent="2" readingOrder="1"/>
    </xf>
    <xf numFmtId="0" fontId="0" fillId="0" borderId="31" xfId="0" applyBorder="1"/>
    <xf numFmtId="0" fontId="90" fillId="38" borderId="70" xfId="0" applyFont="1" applyFill="1" applyBorder="1" applyAlignment="1">
      <alignment horizontal="left" vertical="center" wrapText="1" indent="4" readingOrder="1"/>
    </xf>
    <xf numFmtId="3" fontId="90" fillId="38" borderId="70" xfId="0" applyNumberFormat="1" applyFont="1" applyFill="1" applyBorder="1" applyAlignment="1">
      <alignment horizontal="right" vertical="center" wrapText="1" indent="2" readingOrder="1"/>
    </xf>
    <xf numFmtId="10" fontId="90" fillId="38" borderId="140" xfId="0" applyNumberFormat="1" applyFont="1" applyFill="1" applyBorder="1" applyAlignment="1">
      <alignment horizontal="right" vertical="center" wrapText="1" indent="2" readingOrder="1"/>
    </xf>
    <xf numFmtId="10" fontId="90" fillId="38" borderId="70" xfId="0" applyNumberFormat="1" applyFont="1" applyFill="1" applyBorder="1" applyAlignment="1">
      <alignment horizontal="right" vertical="center" wrapText="1" indent="2" readingOrder="1"/>
    </xf>
    <xf numFmtId="0" fontId="91" fillId="38" borderId="70" xfId="0" applyFont="1" applyFill="1" applyBorder="1" applyAlignment="1">
      <alignment horizontal="left" vertical="center" wrapText="1" indent="2" readingOrder="1"/>
    </xf>
    <xf numFmtId="0" fontId="92" fillId="30" borderId="70" xfId="0" applyFont="1" applyFill="1" applyBorder="1" applyAlignment="1">
      <alignment horizontal="left" vertical="center" wrapText="1" indent="1" readingOrder="1"/>
    </xf>
    <xf numFmtId="6" fontId="92" fillId="30" borderId="81" xfId="0" applyNumberFormat="1" applyFont="1" applyFill="1" applyBorder="1" applyAlignment="1">
      <alignment horizontal="right" vertical="center" wrapText="1" indent="2" readingOrder="1"/>
    </xf>
    <xf numFmtId="10" fontId="92" fillId="30" borderId="31" xfId="0" applyNumberFormat="1" applyFont="1" applyFill="1" applyBorder="1" applyAlignment="1">
      <alignment horizontal="right" vertical="center" wrapText="1" indent="2" readingOrder="1"/>
    </xf>
    <xf numFmtId="10" fontId="92" fillId="30" borderId="0" xfId="0" applyNumberFormat="1" applyFont="1" applyFill="1" applyAlignment="1">
      <alignment horizontal="right" vertical="center" wrapText="1" indent="2" readingOrder="1"/>
    </xf>
    <xf numFmtId="10" fontId="91" fillId="38" borderId="70" xfId="0" applyNumberFormat="1" applyFont="1" applyFill="1" applyBorder="1" applyAlignment="1">
      <alignment horizontal="right" vertical="center" wrapText="1" indent="2" readingOrder="1"/>
    </xf>
    <xf numFmtId="6" fontId="92" fillId="30" borderId="70" xfId="0" applyNumberFormat="1" applyFont="1" applyFill="1" applyBorder="1" applyAlignment="1">
      <alignment horizontal="right" vertical="center" wrapText="1" indent="2" readingOrder="1"/>
    </xf>
    <xf numFmtId="10" fontId="92" fillId="30" borderId="142" xfId="0" applyNumberFormat="1" applyFont="1" applyFill="1" applyBorder="1" applyAlignment="1">
      <alignment horizontal="right" vertical="center" wrapText="1" indent="2" readingOrder="1"/>
    </xf>
    <xf numFmtId="10" fontId="92" fillId="30" borderId="83" xfId="0" applyNumberFormat="1" applyFont="1" applyFill="1" applyBorder="1" applyAlignment="1">
      <alignment horizontal="right" vertical="center" wrapText="1" indent="2" readingOrder="1"/>
    </xf>
    <xf numFmtId="171" fontId="91" fillId="38" borderId="70" xfId="0" applyNumberFormat="1" applyFont="1" applyFill="1" applyBorder="1" applyAlignment="1">
      <alignment horizontal="right" vertical="center" wrapText="1" indent="2" readingOrder="1"/>
    </xf>
    <xf numFmtId="0" fontId="92" fillId="19" borderId="70" xfId="0" applyFont="1" applyFill="1" applyBorder="1" applyAlignment="1">
      <alignment horizontal="left" vertical="center" wrapText="1" indent="1" readingOrder="1"/>
    </xf>
    <xf numFmtId="6" fontId="92" fillId="19" borderId="81" xfId="0" applyNumberFormat="1" applyFont="1" applyFill="1" applyBorder="1" applyAlignment="1">
      <alignment horizontal="right" vertical="center" wrapText="1" indent="2" readingOrder="1"/>
    </xf>
    <xf numFmtId="0" fontId="92" fillId="15" borderId="70" xfId="0" applyFont="1" applyFill="1" applyBorder="1" applyAlignment="1">
      <alignment horizontal="left" vertical="center" wrapText="1" indent="1" readingOrder="1"/>
    </xf>
    <xf numFmtId="6" fontId="92" fillId="15" borderId="70" xfId="0" applyNumberFormat="1" applyFont="1" applyFill="1" applyBorder="1" applyAlignment="1">
      <alignment horizontal="center" vertical="center" wrapText="1" readingOrder="1"/>
    </xf>
    <xf numFmtId="9" fontId="92" fillId="15" borderId="139" xfId="0" applyNumberFormat="1" applyFont="1" applyFill="1" applyBorder="1" applyAlignment="1">
      <alignment horizontal="center" vertical="center" wrapText="1" readingOrder="1"/>
    </xf>
    <xf numFmtId="9" fontId="92" fillId="15" borderId="85" xfId="0" applyNumberFormat="1" applyFont="1" applyFill="1" applyBorder="1" applyAlignment="1">
      <alignment horizontal="center" vertical="center" wrapText="1" readingOrder="1"/>
    </xf>
    <xf numFmtId="10" fontId="1" fillId="0" borderId="0" xfId="0" applyNumberFormat="1" applyFont="1" applyAlignment="1">
      <alignment horizontal="center"/>
    </xf>
    <xf numFmtId="186" fontId="82" fillId="38" borderId="140" xfId="0" applyNumberFormat="1" applyFont="1" applyFill="1" applyBorder="1" applyAlignment="1">
      <alignment horizontal="right" vertical="center" wrapText="1" indent="2" readingOrder="1"/>
    </xf>
    <xf numFmtId="186" fontId="88" fillId="30" borderId="140" xfId="0" applyNumberFormat="1" applyFont="1" applyFill="1" applyBorder="1" applyAlignment="1">
      <alignment horizontal="right" vertical="center" wrapText="1" indent="2" readingOrder="1"/>
    </xf>
    <xf numFmtId="6" fontId="1" fillId="3" borderId="0" xfId="0" applyNumberFormat="1" applyFont="1" applyFill="1"/>
    <xf numFmtId="10" fontId="66" fillId="3" borderId="0" xfId="0" applyNumberFormat="1" applyFont="1" applyFill="1" applyAlignment="1">
      <alignment horizontal="center"/>
    </xf>
    <xf numFmtId="0" fontId="0" fillId="3" borderId="0" xfId="0" applyFill="1" applyAlignment="1">
      <alignment horizontal="center"/>
    </xf>
    <xf numFmtId="10" fontId="3" fillId="2" borderId="0" xfId="0" applyNumberFormat="1" applyFont="1" applyFill="1" applyAlignment="1">
      <alignment horizontal="center"/>
    </xf>
    <xf numFmtId="0" fontId="1" fillId="5" borderId="0" xfId="0" applyFont="1" applyFill="1" applyAlignment="1">
      <alignment horizontal="center"/>
    </xf>
    <xf numFmtId="10" fontId="1" fillId="5" borderId="0" xfId="0" applyNumberFormat="1" applyFont="1" applyFill="1" applyAlignment="1">
      <alignment horizontal="center"/>
    </xf>
    <xf numFmtId="10" fontId="89" fillId="38" borderId="70" xfId="0" applyNumberFormat="1" applyFont="1" applyFill="1" applyBorder="1" applyAlignment="1">
      <alignment horizontal="right" vertical="center" wrapText="1" indent="2" readingOrder="1"/>
    </xf>
    <xf numFmtId="0" fontId="82" fillId="38" borderId="70" xfId="0" applyFont="1" applyFill="1" applyBorder="1" applyAlignment="1">
      <alignment horizontal="left" vertical="center" wrapText="1" indent="2" readingOrder="1"/>
    </xf>
    <xf numFmtId="0" fontId="88" fillId="14" borderId="70" xfId="0" applyFont="1" applyFill="1" applyBorder="1" applyAlignment="1">
      <alignment horizontal="left" vertical="center" wrapText="1" indent="1" readingOrder="1"/>
    </xf>
    <xf numFmtId="6" fontId="88" fillId="14" borderId="81" xfId="0" applyNumberFormat="1" applyFont="1" applyFill="1" applyBorder="1" applyAlignment="1">
      <alignment horizontal="right" vertical="center" wrapText="1" indent="2" readingOrder="1"/>
    </xf>
    <xf numFmtId="9" fontId="88" fillId="14" borderId="31" xfId="0" applyNumberFormat="1" applyFont="1" applyFill="1" applyBorder="1" applyAlignment="1">
      <alignment horizontal="right" vertical="center" wrapText="1" indent="2" readingOrder="1"/>
    </xf>
    <xf numFmtId="10" fontId="88" fillId="14" borderId="31" xfId="0" applyNumberFormat="1" applyFont="1" applyFill="1" applyBorder="1" applyAlignment="1">
      <alignment horizontal="right" vertical="center" wrapText="1" indent="2" readingOrder="1"/>
    </xf>
    <xf numFmtId="6" fontId="88" fillId="15" borderId="81" xfId="0" applyNumberFormat="1" applyFont="1" applyFill="1" applyBorder="1" applyAlignment="1">
      <alignment horizontal="right" vertical="center" wrapText="1" indent="2" readingOrder="1"/>
    </xf>
    <xf numFmtId="9" fontId="88" fillId="15" borderId="31" xfId="0" applyNumberFormat="1" applyFont="1" applyFill="1" applyBorder="1" applyAlignment="1">
      <alignment horizontal="right" vertical="center" wrapText="1" indent="2" readingOrder="1"/>
    </xf>
    <xf numFmtId="0" fontId="0" fillId="15" borderId="0" xfId="0" applyFill="1" applyAlignment="1">
      <alignment horizontal="right" indent="2"/>
    </xf>
    <xf numFmtId="10" fontId="88" fillId="15" borderId="31" xfId="0" applyNumberFormat="1" applyFont="1" applyFill="1" applyBorder="1" applyAlignment="1">
      <alignment horizontal="right" vertical="center" wrapText="1" indent="2" readingOrder="1"/>
    </xf>
    <xf numFmtId="0" fontId="88" fillId="16" borderId="70" xfId="0" applyFont="1" applyFill="1" applyBorder="1" applyAlignment="1">
      <alignment horizontal="left" vertical="center" wrapText="1" indent="1" readingOrder="1"/>
    </xf>
    <xf numFmtId="6" fontId="88" fillId="16" borderId="81" xfId="0" applyNumberFormat="1" applyFont="1" applyFill="1" applyBorder="1" applyAlignment="1">
      <alignment horizontal="right" vertical="center" wrapText="1" indent="2" readingOrder="1"/>
    </xf>
    <xf numFmtId="9" fontId="88" fillId="16" borderId="31" xfId="0" applyNumberFormat="1" applyFont="1" applyFill="1" applyBorder="1" applyAlignment="1">
      <alignment horizontal="right" vertical="center" wrapText="1" indent="2" readingOrder="1"/>
    </xf>
    <xf numFmtId="10" fontId="88" fillId="16" borderId="31" xfId="0" applyNumberFormat="1" applyFont="1" applyFill="1" applyBorder="1" applyAlignment="1">
      <alignment horizontal="right" vertical="center" wrapText="1" indent="2" readingOrder="1"/>
    </xf>
    <xf numFmtId="6" fontId="88" fillId="23" borderId="70" xfId="0" applyNumberFormat="1" applyFont="1" applyFill="1" applyBorder="1" applyAlignment="1">
      <alignment horizontal="right" vertical="center" wrapText="1" indent="2" readingOrder="1"/>
    </xf>
    <xf numFmtId="9" fontId="88" fillId="23" borderId="140" xfId="0" applyNumberFormat="1" applyFont="1" applyFill="1" applyBorder="1" applyAlignment="1">
      <alignment horizontal="right" vertical="center" wrapText="1" indent="2" readingOrder="1"/>
    </xf>
    <xf numFmtId="10" fontId="88" fillId="23" borderId="142" xfId="0" applyNumberFormat="1" applyFont="1" applyFill="1" applyBorder="1" applyAlignment="1">
      <alignment horizontal="right" vertical="center" wrapText="1" indent="2" readingOrder="1"/>
    </xf>
    <xf numFmtId="0" fontId="93" fillId="23" borderId="84" xfId="0" applyFont="1" applyFill="1" applyBorder="1" applyAlignment="1">
      <alignment horizontal="left" vertical="center" wrapText="1" indent="2" readingOrder="1"/>
    </xf>
    <xf numFmtId="6" fontId="93" fillId="23" borderId="88" xfId="0" applyNumberFormat="1" applyFont="1" applyFill="1" applyBorder="1" applyAlignment="1">
      <alignment horizontal="right" vertical="center" wrapText="1" indent="2" readingOrder="1"/>
    </xf>
    <xf numFmtId="9" fontId="93" fillId="23" borderId="143" xfId="0" applyNumberFormat="1" applyFont="1" applyFill="1" applyBorder="1" applyAlignment="1">
      <alignment horizontal="right" vertical="center" wrapText="1" indent="2" readingOrder="1"/>
    </xf>
    <xf numFmtId="6" fontId="93" fillId="23" borderId="84" xfId="0" applyNumberFormat="1" applyFont="1" applyFill="1" applyBorder="1" applyAlignment="1">
      <alignment horizontal="right" vertical="center" wrapText="1" indent="2" readingOrder="1"/>
    </xf>
    <xf numFmtId="10" fontId="93" fillId="23" borderId="84" xfId="0" applyNumberFormat="1" applyFont="1" applyFill="1" applyBorder="1" applyAlignment="1">
      <alignment horizontal="right" vertical="center" wrapText="1" indent="2" readingOrder="1"/>
    </xf>
    <xf numFmtId="0" fontId="93" fillId="23" borderId="0" xfId="0" applyFont="1" applyFill="1" applyAlignment="1">
      <alignment horizontal="left" vertical="center" wrapText="1" indent="3" readingOrder="1"/>
    </xf>
    <xf numFmtId="3" fontId="93" fillId="23" borderId="71" xfId="0" applyNumberFormat="1" applyFont="1" applyFill="1" applyBorder="1" applyAlignment="1">
      <alignment horizontal="right" vertical="center" wrapText="1" indent="2" readingOrder="1"/>
    </xf>
    <xf numFmtId="9" fontId="93" fillId="23" borderId="144" xfId="0" applyNumberFormat="1" applyFont="1" applyFill="1" applyBorder="1" applyAlignment="1">
      <alignment horizontal="right" vertical="center" wrapText="1" indent="2" readingOrder="1"/>
    </xf>
    <xf numFmtId="6" fontId="93" fillId="23" borderId="0" xfId="0" applyNumberFormat="1" applyFont="1" applyFill="1" applyAlignment="1">
      <alignment horizontal="right" vertical="center" wrapText="1" indent="2" readingOrder="1"/>
    </xf>
    <xf numFmtId="10" fontId="93" fillId="23" borderId="0" xfId="0" applyNumberFormat="1" applyFont="1" applyFill="1" applyAlignment="1">
      <alignment horizontal="right" vertical="center" wrapText="1" indent="2" readingOrder="1"/>
    </xf>
    <xf numFmtId="0" fontId="93" fillId="23" borderId="85" xfId="0" applyFont="1" applyFill="1" applyBorder="1" applyAlignment="1">
      <alignment horizontal="left" vertical="center" wrapText="1" indent="3" readingOrder="1"/>
    </xf>
    <xf numFmtId="3" fontId="93" fillId="23" borderId="81" xfId="0" applyNumberFormat="1" applyFont="1" applyFill="1" applyBorder="1" applyAlignment="1">
      <alignment horizontal="right" vertical="center" wrapText="1" indent="2" readingOrder="1"/>
    </xf>
    <xf numFmtId="9" fontId="93" fillId="23" borderId="141" xfId="0" applyNumberFormat="1" applyFont="1" applyFill="1" applyBorder="1" applyAlignment="1">
      <alignment horizontal="right" vertical="center" wrapText="1" indent="2" readingOrder="1"/>
    </xf>
    <xf numFmtId="6" fontId="93" fillId="23" borderId="85" xfId="0" applyNumberFormat="1" applyFont="1" applyFill="1" applyBorder="1" applyAlignment="1">
      <alignment horizontal="right" vertical="center" wrapText="1" indent="2" readingOrder="1"/>
    </xf>
    <xf numFmtId="10" fontId="93" fillId="23" borderId="85" xfId="0" applyNumberFormat="1" applyFont="1" applyFill="1" applyBorder="1" applyAlignment="1">
      <alignment horizontal="right" vertical="center" wrapText="1" indent="2" readingOrder="1"/>
    </xf>
    <xf numFmtId="0" fontId="88" fillId="21" borderId="70" xfId="0" applyFont="1" applyFill="1" applyBorder="1" applyAlignment="1">
      <alignment horizontal="left" vertical="center" wrapText="1" indent="1" readingOrder="1"/>
    </xf>
    <xf numFmtId="6" fontId="93" fillId="21" borderId="107" xfId="0" applyNumberFormat="1" applyFont="1" applyFill="1" applyBorder="1" applyAlignment="1">
      <alignment horizontal="right" vertical="center" wrapText="1" indent="2" readingOrder="1"/>
    </xf>
    <xf numFmtId="9" fontId="88" fillId="21" borderId="140" xfId="0" applyNumberFormat="1" applyFont="1" applyFill="1" applyBorder="1" applyAlignment="1">
      <alignment horizontal="right" vertical="center" wrapText="1" indent="2" readingOrder="1"/>
    </xf>
    <xf numFmtId="6" fontId="88" fillId="21" borderId="0" xfId="0" applyNumberFormat="1" applyFont="1" applyFill="1" applyAlignment="1">
      <alignment horizontal="right" vertical="center" wrapText="1" indent="2" readingOrder="1"/>
    </xf>
    <xf numFmtId="10" fontId="88" fillId="21" borderId="0" xfId="0" applyNumberFormat="1" applyFont="1" applyFill="1" applyAlignment="1">
      <alignment horizontal="right" vertical="center" wrapText="1" indent="2" readingOrder="1"/>
    </xf>
    <xf numFmtId="0" fontId="88" fillId="32" borderId="70" xfId="0" applyFont="1" applyFill="1" applyBorder="1" applyAlignment="1">
      <alignment horizontal="left" vertical="center" wrapText="1" indent="1" readingOrder="1"/>
    </xf>
    <xf numFmtId="6" fontId="93" fillId="32" borderId="107" xfId="0" applyNumberFormat="1" applyFont="1" applyFill="1" applyBorder="1" applyAlignment="1">
      <alignment horizontal="right" vertical="center" wrapText="1" indent="2" readingOrder="1"/>
    </xf>
    <xf numFmtId="9" fontId="88" fillId="32" borderId="140" xfId="0" applyNumberFormat="1" applyFont="1" applyFill="1" applyBorder="1" applyAlignment="1">
      <alignment horizontal="right" vertical="center" wrapText="1" indent="2" readingOrder="1"/>
    </xf>
    <xf numFmtId="6" fontId="88" fillId="32" borderId="0" xfId="0" applyNumberFormat="1" applyFont="1" applyFill="1" applyAlignment="1">
      <alignment horizontal="right" vertical="center" wrapText="1" indent="2" readingOrder="1"/>
    </xf>
    <xf numFmtId="10" fontId="88" fillId="32" borderId="28" xfId="0" applyNumberFormat="1" applyFont="1" applyFill="1" applyBorder="1" applyAlignment="1">
      <alignment horizontal="right" vertical="center" wrapText="1" indent="2" readingOrder="1"/>
    </xf>
    <xf numFmtId="8" fontId="2" fillId="16" borderId="0" xfId="0" applyNumberFormat="1" applyFont="1" applyFill="1" applyAlignment="1">
      <alignment horizontal="right" indent="2"/>
    </xf>
    <xf numFmtId="9" fontId="82" fillId="38" borderId="70" xfId="0" applyNumberFormat="1" applyFont="1" applyFill="1" applyBorder="1" applyAlignment="1">
      <alignment horizontal="right" vertical="center" wrapText="1" indent="2" readingOrder="1"/>
    </xf>
    <xf numFmtId="9" fontId="80" fillId="38" borderId="70" xfId="0" applyNumberFormat="1" applyFont="1" applyFill="1" applyBorder="1" applyAlignment="1">
      <alignment horizontal="right" vertical="center" wrapText="1" indent="2" readingOrder="1"/>
    </xf>
    <xf numFmtId="6" fontId="43" fillId="0" borderId="33" xfId="0" applyNumberFormat="1" applyFont="1" applyBorder="1"/>
    <xf numFmtId="38" fontId="0" fillId="0" borderId="0" xfId="0" applyNumberFormat="1"/>
    <xf numFmtId="0" fontId="0" fillId="0" borderId="0" xfId="0" applyAlignment="1">
      <alignment horizontal="right"/>
    </xf>
    <xf numFmtId="6" fontId="0" fillId="0" borderId="0" xfId="0" applyNumberFormat="1" applyAlignment="1">
      <alignment horizontal="right"/>
    </xf>
    <xf numFmtId="171" fontId="88" fillId="14" borderId="70" xfId="0" applyNumberFormat="1" applyFont="1" applyFill="1" applyBorder="1" applyAlignment="1">
      <alignment horizontal="right" vertical="center" wrapText="1" indent="1" readingOrder="1"/>
    </xf>
    <xf numFmtId="171" fontId="88" fillId="15" borderId="70" xfId="0" applyNumberFormat="1" applyFont="1" applyFill="1" applyBorder="1" applyAlignment="1">
      <alignment horizontal="right" vertical="center" wrapText="1" indent="1" readingOrder="1"/>
    </xf>
    <xf numFmtId="171" fontId="88" fillId="16" borderId="70" xfId="0" applyNumberFormat="1" applyFont="1" applyFill="1" applyBorder="1" applyAlignment="1">
      <alignment horizontal="right" vertical="center" wrapText="1" indent="1" readingOrder="1"/>
    </xf>
    <xf numFmtId="171" fontId="88" fillId="23" borderId="70" xfId="0" applyNumberFormat="1" applyFont="1" applyFill="1" applyBorder="1" applyAlignment="1">
      <alignment horizontal="right" vertical="center" wrapText="1" indent="1" readingOrder="1"/>
    </xf>
    <xf numFmtId="171" fontId="88" fillId="32" borderId="70" xfId="0" applyNumberFormat="1" applyFont="1" applyFill="1" applyBorder="1" applyAlignment="1">
      <alignment horizontal="right" vertical="center" wrapText="1" indent="1" readingOrder="1"/>
    </xf>
    <xf numFmtId="0" fontId="95" fillId="20" borderId="70" xfId="0" applyFont="1" applyFill="1" applyBorder="1" applyAlignment="1">
      <alignment horizontal="left" vertical="center" wrapText="1" indent="1" readingOrder="1"/>
    </xf>
    <xf numFmtId="187" fontId="95" fillId="20" borderId="70" xfId="0" applyNumberFormat="1" applyFont="1" applyFill="1" applyBorder="1" applyAlignment="1">
      <alignment horizontal="right" vertical="center" wrapText="1" indent="1" readingOrder="1"/>
    </xf>
    <xf numFmtId="3" fontId="0" fillId="0" borderId="0" xfId="0" applyNumberFormat="1"/>
    <xf numFmtId="0" fontId="95" fillId="20" borderId="70" xfId="0" applyFont="1" applyFill="1" applyBorder="1" applyAlignment="1">
      <alignment vertical="center" wrapText="1" readingOrder="1"/>
    </xf>
    <xf numFmtId="187" fontId="95" fillId="20" borderId="70" xfId="0" applyNumberFormat="1" applyFont="1" applyFill="1" applyBorder="1" applyAlignment="1">
      <alignment vertical="center" wrapText="1" readingOrder="1"/>
    </xf>
    <xf numFmtId="0" fontId="95" fillId="20" borderId="81" xfId="0" applyFont="1" applyFill="1" applyBorder="1" applyAlignment="1">
      <alignment horizontal="left" vertical="center" wrapText="1" indent="1" readingOrder="1"/>
    </xf>
    <xf numFmtId="187" fontId="95" fillId="20" borderId="81" xfId="0" applyNumberFormat="1" applyFont="1" applyFill="1" applyBorder="1" applyAlignment="1">
      <alignment horizontal="right" vertical="center" wrapText="1" indent="1" readingOrder="1"/>
    </xf>
    <xf numFmtId="171" fontId="94" fillId="20" borderId="145" xfId="0" applyNumberFormat="1" applyFont="1" applyFill="1" applyBorder="1" applyAlignment="1">
      <alignment horizontal="right" vertical="center" wrapText="1" indent="1" readingOrder="1"/>
    </xf>
    <xf numFmtId="171" fontId="82" fillId="38" borderId="87" xfId="0" applyNumberFormat="1" applyFont="1" applyFill="1" applyBorder="1" applyAlignment="1">
      <alignment horizontal="left" vertical="center" wrapText="1" indent="1" readingOrder="1"/>
    </xf>
    <xf numFmtId="0" fontId="46" fillId="21" borderId="33" xfId="0" applyFont="1" applyFill="1" applyBorder="1" applyAlignment="1">
      <alignment horizontal="left" vertical="center" wrapText="1" indent="1"/>
    </xf>
    <xf numFmtId="10" fontId="92" fillId="19" borderId="141" xfId="0" applyNumberFormat="1" applyFont="1" applyFill="1" applyBorder="1" applyAlignment="1">
      <alignment horizontal="right" vertical="center" wrapText="1" indent="2" readingOrder="1"/>
    </xf>
    <xf numFmtId="0" fontId="0" fillId="19" borderId="85" xfId="0" applyFill="1" applyBorder="1" applyAlignment="1">
      <alignment horizontal="right" indent="2"/>
    </xf>
    <xf numFmtId="10" fontId="92" fillId="19" borderId="85" xfId="0" applyNumberFormat="1" applyFont="1" applyFill="1" applyBorder="1" applyAlignment="1">
      <alignment horizontal="right" vertical="center" wrapText="1" indent="2" readingOrder="1"/>
    </xf>
    <xf numFmtId="10" fontId="89" fillId="38" borderId="70" xfId="0" applyNumberFormat="1" applyFont="1" applyFill="1" applyBorder="1" applyAlignment="1">
      <alignment horizontal="center" vertical="center" wrapText="1" readingOrder="1"/>
    </xf>
    <xf numFmtId="9" fontId="16" fillId="0" borderId="3" xfId="0" applyNumberFormat="1" applyFont="1" applyBorder="1"/>
    <xf numFmtId="0" fontId="7" fillId="0" borderId="0" xfId="0" applyFont="1"/>
    <xf numFmtId="0" fontId="7" fillId="0" borderId="0" xfId="0" applyFont="1" applyAlignment="1">
      <alignment horizontal="center"/>
    </xf>
    <xf numFmtId="0" fontId="3" fillId="0" borderId="0" xfId="0" applyFont="1" applyAlignment="1">
      <alignment horizontal="left" indent="1"/>
    </xf>
    <xf numFmtId="0" fontId="12" fillId="0" borderId="113" xfId="0" applyFont="1" applyBorder="1"/>
    <xf numFmtId="6" fontId="12" fillId="0" borderId="4" xfId="0" applyNumberFormat="1" applyFont="1" applyBorder="1"/>
    <xf numFmtId="6" fontId="12" fillId="0" borderId="5" xfId="0" applyNumberFormat="1" applyFont="1" applyBorder="1"/>
    <xf numFmtId="0" fontId="12" fillId="0" borderId="4" xfId="0" applyFont="1" applyBorder="1"/>
    <xf numFmtId="0" fontId="12" fillId="0" borderId="1" xfId="0" applyFont="1" applyBorder="1"/>
    <xf numFmtId="6" fontId="96" fillId="0" borderId="0" xfId="0" applyNumberFormat="1" applyFont="1"/>
    <xf numFmtId="6" fontId="96" fillId="0" borderId="4" xfId="0" applyNumberFormat="1" applyFont="1" applyBorder="1"/>
    <xf numFmtId="0" fontId="96" fillId="0" borderId="0" xfId="0" applyFont="1"/>
    <xf numFmtId="0" fontId="3" fillId="2" borderId="0" xfId="0" applyFont="1" applyFill="1" applyAlignment="1">
      <alignment horizontal="left" indent="1"/>
    </xf>
    <xf numFmtId="0" fontId="97" fillId="0" borderId="1" xfId="0" applyFont="1" applyBorder="1"/>
    <xf numFmtId="0" fontId="0" fillId="0" borderId="146" xfId="0" applyBorder="1"/>
    <xf numFmtId="3" fontId="82" fillId="38" borderId="0" xfId="0" applyNumberFormat="1" applyFont="1" applyFill="1" applyAlignment="1">
      <alignment horizontal="right" vertical="center" wrapText="1" indent="2" readingOrder="1"/>
    </xf>
    <xf numFmtId="9" fontId="82" fillId="38" borderId="140" xfId="0" applyNumberFormat="1" applyFont="1" applyFill="1" applyBorder="1" applyAlignment="1">
      <alignment horizontal="right" vertical="center" wrapText="1" indent="2" readingOrder="1"/>
    </xf>
    <xf numFmtId="9" fontId="98" fillId="15" borderId="140" xfId="0" applyNumberFormat="1" applyFont="1" applyFill="1" applyBorder="1" applyAlignment="1">
      <alignment horizontal="right" vertical="center" wrapText="1" indent="2" readingOrder="1"/>
    </xf>
    <xf numFmtId="0" fontId="99" fillId="38" borderId="70" xfId="0" applyFont="1" applyFill="1" applyBorder="1" applyAlignment="1">
      <alignment horizontal="left" vertical="center" wrapText="1" indent="4" readingOrder="1"/>
    </xf>
    <xf numFmtId="0" fontId="100" fillId="38" borderId="70" xfId="0" applyFont="1" applyFill="1" applyBorder="1" applyAlignment="1">
      <alignment horizontal="left" vertical="center" wrapText="1" indent="4" readingOrder="1"/>
    </xf>
    <xf numFmtId="0" fontId="101" fillId="38" borderId="70" xfId="0" applyFont="1" applyFill="1" applyBorder="1" applyAlignment="1">
      <alignment horizontal="left" vertical="center" wrapText="1" indent="4" readingOrder="1"/>
    </xf>
    <xf numFmtId="0" fontId="88" fillId="24" borderId="70" xfId="0" applyFont="1" applyFill="1" applyBorder="1" applyAlignment="1">
      <alignment horizontal="left" vertical="center" wrapText="1" indent="1" readingOrder="1"/>
    </xf>
    <xf numFmtId="171" fontId="98" fillId="24" borderId="70" xfId="0" applyNumberFormat="1" applyFont="1" applyFill="1" applyBorder="1" applyAlignment="1">
      <alignment horizontal="right" vertical="center" wrapText="1" indent="2" readingOrder="1"/>
    </xf>
    <xf numFmtId="171" fontId="98" fillId="24" borderId="85" xfId="0" applyNumberFormat="1" applyFont="1" applyFill="1" applyBorder="1" applyAlignment="1">
      <alignment horizontal="right" vertical="center" wrapText="1" indent="2" readingOrder="1"/>
    </xf>
    <xf numFmtId="0" fontId="88" fillId="15" borderId="87" xfId="0" applyFont="1" applyFill="1" applyBorder="1" applyAlignment="1">
      <alignment horizontal="left" vertical="center" wrapText="1" indent="1" readingOrder="1"/>
    </xf>
    <xf numFmtId="0" fontId="88" fillId="15" borderId="107" xfId="0" applyFont="1" applyFill="1" applyBorder="1" applyAlignment="1">
      <alignment horizontal="left" vertical="center" wrapText="1" indent="1" readingOrder="1"/>
    </xf>
    <xf numFmtId="0" fontId="102" fillId="38" borderId="108" xfId="0" applyFont="1" applyFill="1" applyBorder="1" applyAlignment="1">
      <alignment horizontal="center" vertical="center" wrapText="1" readingOrder="1"/>
    </xf>
    <xf numFmtId="0" fontId="102" fillId="38" borderId="147" xfId="0" applyFont="1" applyFill="1" applyBorder="1" applyAlignment="1">
      <alignment horizontal="center" vertical="center" wrapText="1" readingOrder="1"/>
    </xf>
    <xf numFmtId="0" fontId="103" fillId="38" borderId="147" xfId="0" applyFont="1" applyFill="1" applyBorder="1" applyAlignment="1">
      <alignment horizontal="center" vertical="center" wrapText="1" readingOrder="1"/>
    </xf>
    <xf numFmtId="0" fontId="103" fillId="38" borderId="148" xfId="0" applyFont="1" applyFill="1" applyBorder="1" applyAlignment="1">
      <alignment horizontal="center" vertical="center" wrapText="1" readingOrder="1"/>
    </xf>
    <xf numFmtId="0" fontId="103" fillId="38" borderId="95" xfId="0" applyFont="1" applyFill="1" applyBorder="1" applyAlignment="1">
      <alignment horizontal="center" vertical="center" wrapText="1" readingOrder="1"/>
    </xf>
    <xf numFmtId="0" fontId="103" fillId="38" borderId="106" xfId="0" applyFont="1" applyFill="1" applyBorder="1" applyAlignment="1">
      <alignment horizontal="center" vertical="center" wrapText="1" readingOrder="1"/>
    </xf>
    <xf numFmtId="5" fontId="0" fillId="0" borderId="0" xfId="0" applyNumberFormat="1" applyAlignment="1">
      <alignment horizontal="center"/>
    </xf>
    <xf numFmtId="6" fontId="0" fillId="0" borderId="0" xfId="0" applyNumberFormat="1" applyAlignment="1">
      <alignment horizontal="center"/>
    </xf>
    <xf numFmtId="0" fontId="0" fillId="0" borderId="1" xfId="0" applyBorder="1" applyAlignment="1">
      <alignment horizontal="center"/>
    </xf>
    <xf numFmtId="5" fontId="1" fillId="0" borderId="0" xfId="0" applyNumberFormat="1" applyFont="1" applyAlignment="1">
      <alignment horizontal="center"/>
    </xf>
    <xf numFmtId="6" fontId="1" fillId="0" borderId="0" xfId="0" applyNumberFormat="1" applyFont="1" applyAlignment="1">
      <alignment horizontal="center"/>
    </xf>
    <xf numFmtId="14" fontId="0" fillId="0" borderId="0" xfId="0" applyNumberFormat="1" applyAlignment="1">
      <alignment horizontal="center"/>
    </xf>
    <xf numFmtId="182" fontId="0" fillId="0" borderId="0" xfId="0" applyNumberFormat="1" applyAlignment="1">
      <alignment horizontal="center"/>
    </xf>
    <xf numFmtId="0" fontId="101" fillId="38" borderId="87" xfId="0" applyFont="1" applyFill="1" applyBorder="1" applyAlignment="1">
      <alignment horizontal="center" vertical="center" wrapText="1" readingOrder="1"/>
    </xf>
    <xf numFmtId="0" fontId="100" fillId="38" borderId="87" xfId="0" applyFont="1" applyFill="1" applyBorder="1" applyAlignment="1">
      <alignment horizontal="center" vertical="center" wrapText="1" readingOrder="1"/>
    </xf>
    <xf numFmtId="0" fontId="108" fillId="18" borderId="70" xfId="0" applyFont="1" applyFill="1" applyBorder="1" applyAlignment="1">
      <alignment horizontal="left" vertical="center" wrapText="1" indent="4" readingOrder="1"/>
    </xf>
    <xf numFmtId="171" fontId="108" fillId="18" borderId="70" xfId="0" applyNumberFormat="1" applyFont="1" applyFill="1" applyBorder="1" applyAlignment="1">
      <alignment horizontal="right" vertical="center" wrapText="1" indent="2" readingOrder="1"/>
    </xf>
    <xf numFmtId="0" fontId="46" fillId="32" borderId="26" xfId="0" applyFont="1" applyFill="1" applyBorder="1" applyAlignment="1">
      <alignment horizontal="left" vertical="center" indent="1"/>
    </xf>
    <xf numFmtId="6" fontId="46" fillId="32" borderId="33" xfId="0" applyNumberFormat="1" applyFont="1" applyFill="1" applyBorder="1" applyAlignment="1">
      <alignment horizontal="left" vertical="center" wrapText="1" indent="1"/>
    </xf>
    <xf numFmtId="0" fontId="49" fillId="18" borderId="29" xfId="0" applyFont="1" applyFill="1" applyBorder="1" applyAlignment="1">
      <alignment horizontal="left" vertical="center" wrapText="1" indent="1"/>
    </xf>
    <xf numFmtId="6" fontId="46" fillId="19" borderId="29" xfId="0" applyNumberFormat="1" applyFont="1" applyFill="1" applyBorder="1" applyAlignment="1">
      <alignment horizontal="center" vertical="center" wrapText="1"/>
    </xf>
    <xf numFmtId="0" fontId="44" fillId="20" borderId="149" xfId="0" applyFont="1" applyFill="1" applyBorder="1" applyAlignment="1">
      <alignment horizontal="centerContinuous" vertical="center" wrapText="1"/>
    </xf>
    <xf numFmtId="6" fontId="46" fillId="19" borderId="151" xfId="0" applyNumberFormat="1" applyFont="1" applyFill="1" applyBorder="1" applyAlignment="1">
      <alignment horizontal="center" vertical="center" wrapText="1"/>
    </xf>
    <xf numFmtId="0" fontId="44" fillId="20" borderId="152" xfId="0" applyFont="1" applyFill="1" applyBorder="1" applyAlignment="1">
      <alignment horizontal="centerContinuous" vertical="center" wrapText="1"/>
    </xf>
    <xf numFmtId="0" fontId="44" fillId="20" borderId="153" xfId="0" applyFont="1" applyFill="1" applyBorder="1" applyAlignment="1">
      <alignment horizontal="left" vertical="center" wrapText="1" indent="1"/>
    </xf>
    <xf numFmtId="6" fontId="43" fillId="20" borderId="35" xfId="0" applyNumberFormat="1" applyFont="1" applyFill="1" applyBorder="1" applyAlignment="1">
      <alignment horizontal="center" vertical="center" wrapText="1"/>
    </xf>
    <xf numFmtId="9" fontId="43" fillId="20" borderId="37" xfId="0" applyNumberFormat="1" applyFont="1" applyFill="1" applyBorder="1" applyAlignment="1">
      <alignment horizontal="left" vertical="center" wrapText="1" indent="1"/>
    </xf>
    <xf numFmtId="6" fontId="43" fillId="18" borderId="39" xfId="0" applyNumberFormat="1" applyFont="1" applyFill="1" applyBorder="1" applyAlignment="1">
      <alignment horizontal="center" vertical="center" wrapText="1"/>
    </xf>
    <xf numFmtId="6" fontId="43" fillId="20" borderId="26" xfId="0" applyNumberFormat="1" applyFont="1" applyFill="1" applyBorder="1" applyAlignment="1">
      <alignment horizontal="center" vertical="center" wrapText="1"/>
    </xf>
    <xf numFmtId="9" fontId="43" fillId="20" borderId="35" xfId="0" applyNumberFormat="1" applyFont="1" applyFill="1" applyBorder="1" applyAlignment="1">
      <alignment horizontal="left" vertical="center" wrapText="1" indent="1"/>
    </xf>
    <xf numFmtId="6" fontId="43" fillId="20" borderId="33" xfId="0" applyNumberFormat="1" applyFont="1" applyFill="1" applyBorder="1" applyAlignment="1">
      <alignment horizontal="center" vertical="center" wrapText="1"/>
    </xf>
    <xf numFmtId="9" fontId="43" fillId="18" borderId="39" xfId="0" applyNumberFormat="1" applyFont="1" applyFill="1" applyBorder="1" applyAlignment="1">
      <alignment horizontal="left" vertical="center" wrapText="1" indent="1"/>
    </xf>
    <xf numFmtId="9" fontId="47" fillId="19" borderId="26" xfId="0" applyNumberFormat="1" applyFont="1" applyFill="1" applyBorder="1" applyAlignment="1">
      <alignment horizontal="left" vertical="center" wrapText="1" indent="1"/>
    </xf>
    <xf numFmtId="6" fontId="47" fillId="32" borderId="33" xfId="0" applyNumberFormat="1" applyFont="1" applyFill="1" applyBorder="1" applyAlignment="1">
      <alignment horizontal="left" vertical="center" wrapText="1" indent="1"/>
    </xf>
    <xf numFmtId="9" fontId="47" fillId="32" borderId="33" xfId="0" applyNumberFormat="1" applyFont="1" applyFill="1" applyBorder="1" applyAlignment="1">
      <alignment horizontal="left" vertical="center" wrapText="1" indent="1"/>
    </xf>
    <xf numFmtId="6" fontId="47" fillId="19" borderId="26" xfId="0" applyNumberFormat="1" applyFont="1" applyFill="1" applyBorder="1" applyAlignment="1">
      <alignment horizontal="center" vertical="center" wrapText="1"/>
    </xf>
    <xf numFmtId="0" fontId="28" fillId="0" borderId="0" xfId="0" applyFont="1"/>
    <xf numFmtId="0" fontId="105" fillId="22" borderId="88" xfId="0" applyFont="1" applyFill="1" applyBorder="1" applyAlignment="1">
      <alignment horizontal="left" vertical="center" wrapText="1" indent="1" readingOrder="1"/>
    </xf>
    <xf numFmtId="0" fontId="109" fillId="22" borderId="81" xfId="0" applyFont="1" applyFill="1" applyBorder="1" applyAlignment="1">
      <alignment horizontal="left" vertical="center" wrapText="1" indent="1" readingOrder="1"/>
    </xf>
    <xf numFmtId="188" fontId="44" fillId="18" borderId="150" xfId="0" applyNumberFormat="1" applyFont="1" applyFill="1" applyBorder="1" applyAlignment="1">
      <alignment horizontal="center" vertical="center" wrapText="1"/>
    </xf>
    <xf numFmtId="2" fontId="0" fillId="0" borderId="0" xfId="0" applyNumberFormat="1"/>
    <xf numFmtId="189" fontId="95" fillId="20" borderId="70" xfId="0" applyNumberFormat="1" applyFont="1" applyFill="1" applyBorder="1" applyAlignment="1">
      <alignment vertical="center" wrapText="1" readingOrder="1"/>
    </xf>
    <xf numFmtId="9" fontId="96" fillId="2" borderId="0" xfId="0" applyNumberFormat="1" applyFont="1" applyFill="1"/>
    <xf numFmtId="0" fontId="3" fillId="0" borderId="1" xfId="0" applyFont="1" applyBorder="1" applyAlignment="1">
      <alignment horizontal="left" indent="1"/>
    </xf>
    <xf numFmtId="6" fontId="12" fillId="0" borderId="1" xfId="0" applyNumberFormat="1" applyFont="1" applyBorder="1"/>
    <xf numFmtId="6" fontId="12" fillId="2" borderId="0" xfId="0" applyNumberFormat="1" applyFont="1" applyFill="1"/>
    <xf numFmtId="1" fontId="12" fillId="0" borderId="0" xfId="0" applyNumberFormat="1" applyFont="1"/>
    <xf numFmtId="0" fontId="88" fillId="15" borderId="157" xfId="0" applyFont="1" applyFill="1" applyBorder="1" applyAlignment="1">
      <alignment horizontal="left" vertical="center" wrapText="1" indent="1" readingOrder="1"/>
    </xf>
    <xf numFmtId="0" fontId="87" fillId="15" borderId="156" xfId="0" applyFont="1" applyFill="1" applyBorder="1" applyAlignment="1">
      <alignment horizontal="center" vertical="center" wrapText="1" readingOrder="1"/>
    </xf>
    <xf numFmtId="0" fontId="110" fillId="31" borderId="137" xfId="0" applyFont="1" applyFill="1" applyBorder="1" applyAlignment="1">
      <alignment horizontal="left" vertical="center" wrapText="1" indent="1" readingOrder="1"/>
    </xf>
    <xf numFmtId="0" fontId="110" fillId="31" borderId="156" xfId="0" applyFont="1" applyFill="1" applyBorder="1" applyAlignment="1">
      <alignment horizontal="left" vertical="center" wrapText="1" indent="2" readingOrder="1"/>
    </xf>
    <xf numFmtId="6" fontId="110" fillId="31" borderId="156" xfId="0" applyNumberFormat="1" applyFont="1" applyFill="1" applyBorder="1" applyAlignment="1">
      <alignment horizontal="left" vertical="center" wrapText="1" readingOrder="1"/>
    </xf>
    <xf numFmtId="0" fontId="110" fillId="31" borderId="138" xfId="0" applyFont="1" applyFill="1" applyBorder="1" applyAlignment="1">
      <alignment horizontal="left" vertical="center" wrapText="1" indent="2" readingOrder="1"/>
    </xf>
    <xf numFmtId="6" fontId="110" fillId="31" borderId="156" xfId="0" applyNumberFormat="1" applyFont="1" applyFill="1" applyBorder="1" applyAlignment="1">
      <alignment horizontal="left" vertical="center" wrapText="1" indent="1" readingOrder="1"/>
    </xf>
    <xf numFmtId="0" fontId="110" fillId="31" borderId="138" xfId="0" applyFont="1" applyFill="1" applyBorder="1" applyAlignment="1">
      <alignment horizontal="left" vertical="center" wrapText="1" indent="1" readingOrder="1"/>
    </xf>
    <xf numFmtId="0" fontId="59" fillId="20" borderId="102" xfId="0" applyFont="1" applyFill="1" applyBorder="1" applyAlignment="1">
      <alignment horizontal="left" vertical="center" wrapText="1" indent="1"/>
    </xf>
    <xf numFmtId="0" fontId="59" fillId="20" borderId="104" xfId="0" applyFont="1" applyFill="1" applyBorder="1" applyAlignment="1">
      <alignment horizontal="center" vertical="center" wrapText="1"/>
    </xf>
    <xf numFmtId="6" fontId="59" fillId="20" borderId="104" xfId="0" applyNumberFormat="1" applyFont="1" applyFill="1" applyBorder="1" applyAlignment="1">
      <alignment horizontal="center" vertical="center" wrapText="1"/>
    </xf>
    <xf numFmtId="6" fontId="59" fillId="20" borderId="77" xfId="0" applyNumberFormat="1" applyFont="1" applyFill="1" applyBorder="1" applyAlignment="1">
      <alignment horizontal="center" vertical="center" wrapText="1"/>
    </xf>
    <xf numFmtId="190" fontId="59" fillId="20" borderId="159" xfId="0" applyNumberFormat="1" applyFont="1" applyFill="1" applyBorder="1" applyAlignment="1">
      <alignment horizontal="center" vertical="center" wrapText="1"/>
    </xf>
    <xf numFmtId="6" fontId="59" fillId="20" borderId="160" xfId="0" applyNumberFormat="1" applyFont="1" applyFill="1" applyBorder="1" applyAlignment="1">
      <alignment horizontal="center" vertical="center" wrapText="1"/>
    </xf>
    <xf numFmtId="6" fontId="59" fillId="20" borderId="102" xfId="0" applyNumberFormat="1" applyFont="1" applyFill="1" applyBorder="1" applyAlignment="1">
      <alignment horizontal="center" vertical="center" wrapText="1"/>
    </xf>
    <xf numFmtId="176" fontId="111" fillId="31" borderId="81" xfId="0" applyNumberFormat="1" applyFont="1" applyFill="1" applyBorder="1" applyAlignment="1">
      <alignment horizontal="center" vertical="center" wrapText="1" readingOrder="1"/>
    </xf>
    <xf numFmtId="190" fontId="60" fillId="9" borderId="70" xfId="0" applyNumberFormat="1" applyFont="1" applyFill="1" applyBorder="1" applyAlignment="1">
      <alignment horizontal="center" vertical="center" wrapText="1" readingOrder="1"/>
    </xf>
    <xf numFmtId="10" fontId="111" fillId="31" borderId="81" xfId="0" applyNumberFormat="1" applyFont="1" applyFill="1" applyBorder="1" applyAlignment="1">
      <alignment horizontal="center" vertical="center" wrapText="1" readingOrder="1"/>
    </xf>
    <xf numFmtId="8" fontId="111" fillId="31" borderId="95" xfId="0" applyNumberFormat="1" applyFont="1" applyFill="1" applyBorder="1" applyAlignment="1">
      <alignment horizontal="center" vertical="center" wrapText="1" readingOrder="1"/>
    </xf>
    <xf numFmtId="8" fontId="60" fillId="9" borderId="161" xfId="0" applyNumberFormat="1" applyFont="1" applyFill="1" applyBorder="1" applyAlignment="1">
      <alignment horizontal="center" vertical="center" wrapText="1" readingOrder="1"/>
    </xf>
    <xf numFmtId="191" fontId="60" fillId="9" borderId="162" xfId="0" applyNumberFormat="1" applyFont="1" applyFill="1" applyBorder="1" applyAlignment="1">
      <alignment horizontal="center" vertical="center" wrapText="1" readingOrder="1"/>
    </xf>
    <xf numFmtId="8" fontId="60" fillId="9" borderId="107" xfId="0" applyNumberFormat="1" applyFont="1" applyFill="1" applyBorder="1" applyAlignment="1">
      <alignment horizontal="center" vertical="center" wrapText="1" readingOrder="1"/>
    </xf>
    <xf numFmtId="192" fontId="111" fillId="31" borderId="81" xfId="0" applyNumberFormat="1" applyFont="1" applyFill="1" applyBorder="1" applyAlignment="1">
      <alignment horizontal="center" vertical="center" wrapText="1" readingOrder="1"/>
    </xf>
    <xf numFmtId="193" fontId="111" fillId="31" borderId="81" xfId="0" applyNumberFormat="1" applyFont="1" applyFill="1" applyBorder="1" applyAlignment="1">
      <alignment horizontal="center" vertical="center" wrapText="1" readingOrder="1"/>
    </xf>
    <xf numFmtId="191" fontId="60" fillId="9" borderId="164" xfId="0" applyNumberFormat="1" applyFont="1" applyFill="1" applyBorder="1" applyAlignment="1">
      <alignment horizontal="center" vertical="center" wrapText="1" readingOrder="1"/>
    </xf>
    <xf numFmtId="192" fontId="112" fillId="22" borderId="81" xfId="0" applyNumberFormat="1" applyFont="1" applyFill="1" applyBorder="1" applyAlignment="1">
      <alignment horizontal="center" vertical="center" wrapText="1" readingOrder="1"/>
    </xf>
    <xf numFmtId="192" fontId="113" fillId="22" borderId="81" xfId="0" applyNumberFormat="1" applyFont="1" applyFill="1" applyBorder="1" applyAlignment="1">
      <alignment horizontal="center" vertical="center" wrapText="1" readingOrder="1"/>
    </xf>
    <xf numFmtId="176" fontId="113" fillId="22" borderId="81" xfId="0" applyNumberFormat="1" applyFont="1" applyFill="1" applyBorder="1" applyAlignment="1">
      <alignment horizontal="center" vertical="center" wrapText="1" readingOrder="1"/>
    </xf>
    <xf numFmtId="193" fontId="113" fillId="22" borderId="81" xfId="0" applyNumberFormat="1" applyFont="1" applyFill="1" applyBorder="1" applyAlignment="1">
      <alignment horizontal="center" vertical="center" wrapText="1" readingOrder="1"/>
    </xf>
    <xf numFmtId="10" fontId="113" fillId="22" borderId="81" xfId="0" applyNumberFormat="1" applyFont="1" applyFill="1" applyBorder="1" applyAlignment="1">
      <alignment horizontal="center" vertical="center" wrapText="1" readingOrder="1"/>
    </xf>
    <xf numFmtId="0" fontId="113" fillId="21" borderId="81" xfId="0" applyFont="1" applyFill="1" applyBorder="1"/>
    <xf numFmtId="8" fontId="112" fillId="21" borderId="70" xfId="0" applyNumberFormat="1" applyFont="1" applyFill="1" applyBorder="1" applyAlignment="1">
      <alignment horizontal="center" vertical="center" wrapText="1" readingOrder="1"/>
    </xf>
    <xf numFmtId="190" fontId="28" fillId="0" borderId="0" xfId="0" applyNumberFormat="1" applyFont="1"/>
    <xf numFmtId="6" fontId="111" fillId="31" borderId="95" xfId="0" applyNumberFormat="1" applyFont="1" applyFill="1" applyBorder="1" applyAlignment="1">
      <alignment horizontal="center" vertical="center" wrapText="1" readingOrder="1"/>
    </xf>
    <xf numFmtId="6" fontId="60" fillId="9" borderId="161" xfId="0" applyNumberFormat="1" applyFont="1" applyFill="1" applyBorder="1" applyAlignment="1">
      <alignment horizontal="center" vertical="center" wrapText="1" readingOrder="1"/>
    </xf>
    <xf numFmtId="6" fontId="60" fillId="9" borderId="163" xfId="0" applyNumberFormat="1" applyFont="1" applyFill="1" applyBorder="1" applyAlignment="1">
      <alignment horizontal="center" vertical="center" wrapText="1" readingOrder="1"/>
    </xf>
    <xf numFmtId="6" fontId="112" fillId="22" borderId="81" xfId="0" applyNumberFormat="1" applyFont="1" applyFill="1" applyBorder="1" applyAlignment="1">
      <alignment horizontal="center" vertical="center" wrapText="1" readingOrder="1"/>
    </xf>
    <xf numFmtId="6" fontId="112" fillId="21" borderId="81" xfId="0" applyNumberFormat="1" applyFont="1" applyFill="1" applyBorder="1" applyAlignment="1">
      <alignment horizontal="center" vertical="center" wrapText="1" readingOrder="1"/>
    </xf>
    <xf numFmtId="6" fontId="60" fillId="9" borderId="107" xfId="0" applyNumberFormat="1" applyFont="1" applyFill="1" applyBorder="1" applyAlignment="1">
      <alignment horizontal="center" vertical="center" wrapText="1" readingOrder="1"/>
    </xf>
    <xf numFmtId="6" fontId="112" fillId="21" borderId="70" xfId="0" applyNumberFormat="1" applyFont="1" applyFill="1" applyBorder="1" applyAlignment="1">
      <alignment horizontal="center" vertical="center" wrapText="1" readingOrder="1"/>
    </xf>
    <xf numFmtId="9" fontId="42" fillId="0" borderId="88" xfId="0" applyNumberFormat="1" applyFont="1" applyBorder="1"/>
    <xf numFmtId="9" fontId="42" fillId="0" borderId="0" xfId="0" applyNumberFormat="1" applyFont="1"/>
    <xf numFmtId="17" fontId="0" fillId="0" borderId="0" xfId="0" applyNumberFormat="1"/>
    <xf numFmtId="6" fontId="114" fillId="0" borderId="1" xfId="0" applyNumberFormat="1" applyFont="1" applyBorder="1"/>
    <xf numFmtId="0" fontId="0" fillId="0" borderId="165" xfId="0" applyBorder="1"/>
    <xf numFmtId="0" fontId="0" fillId="0" borderId="166" xfId="0" applyBorder="1"/>
    <xf numFmtId="0" fontId="0" fillId="0" borderId="167" xfId="0" applyBorder="1"/>
    <xf numFmtId="0" fontId="0" fillId="0" borderId="169" xfId="0" applyBorder="1"/>
    <xf numFmtId="0" fontId="0" fillId="0" borderId="168" xfId="0" applyBorder="1"/>
    <xf numFmtId="0" fontId="114" fillId="0" borderId="0" xfId="0" applyFont="1"/>
    <xf numFmtId="6" fontId="114" fillId="0" borderId="0" xfId="0" applyNumberFormat="1" applyFont="1"/>
    <xf numFmtId="0" fontId="0" fillId="0" borderId="170" xfId="0" applyBorder="1"/>
    <xf numFmtId="0" fontId="0" fillId="0" borderId="171" xfId="0" applyBorder="1"/>
    <xf numFmtId="0" fontId="0" fillId="0" borderId="172" xfId="0" applyBorder="1"/>
    <xf numFmtId="0" fontId="44" fillId="0" borderId="168" xfId="0" applyFont="1" applyBorder="1" applyAlignment="1">
      <alignment horizontal="left" indent="1"/>
    </xf>
    <xf numFmtId="0" fontId="116" fillId="0" borderId="0" xfId="0" applyFont="1"/>
    <xf numFmtId="6" fontId="114" fillId="6" borderId="0" xfId="0" applyNumberFormat="1" applyFont="1" applyFill="1"/>
    <xf numFmtId="17" fontId="116" fillId="40" borderId="1" xfId="0" applyNumberFormat="1" applyFont="1" applyFill="1" applyBorder="1"/>
    <xf numFmtId="0" fontId="116" fillId="0" borderId="0" xfId="0" applyFont="1" applyAlignment="1">
      <alignment horizontal="left" indent="1"/>
    </xf>
    <xf numFmtId="6" fontId="116" fillId="0" borderId="0" xfId="0" applyNumberFormat="1" applyFont="1"/>
    <xf numFmtId="0" fontId="115" fillId="31" borderId="0" xfId="0" applyFont="1" applyFill="1"/>
    <xf numFmtId="0" fontId="116" fillId="31" borderId="0" xfId="0" applyFont="1" applyFill="1"/>
    <xf numFmtId="6" fontId="115" fillId="31" borderId="0" xfId="0" applyNumberFormat="1" applyFont="1" applyFill="1"/>
    <xf numFmtId="17" fontId="115" fillId="31" borderId="0" xfId="0" applyNumberFormat="1" applyFont="1" applyFill="1" applyAlignment="1">
      <alignment horizontal="left"/>
    </xf>
    <xf numFmtId="6" fontId="116" fillId="31" borderId="0" xfId="0" applyNumberFormat="1" applyFont="1" applyFill="1"/>
    <xf numFmtId="0" fontId="44" fillId="0" borderId="0" xfId="0" applyFont="1"/>
    <xf numFmtId="0" fontId="116" fillId="0" borderId="166" xfId="0" applyFont="1" applyBorder="1"/>
    <xf numFmtId="0" fontId="116" fillId="0" borderId="171" xfId="0" applyFont="1" applyBorder="1"/>
    <xf numFmtId="6" fontId="118" fillId="0" borderId="0" xfId="0" applyNumberFormat="1" applyFont="1" applyAlignment="1">
      <alignment horizontal="left"/>
    </xf>
    <xf numFmtId="0" fontId="116" fillId="0" borderId="171" xfId="0" applyFont="1" applyBorder="1" applyAlignment="1">
      <alignment horizontal="left" indent="1"/>
    </xf>
    <xf numFmtId="6" fontId="116" fillId="0" borderId="171" xfId="0" applyNumberFormat="1" applyFont="1" applyBorder="1"/>
    <xf numFmtId="0" fontId="116" fillId="3" borderId="0" xfId="0" applyFont="1" applyFill="1"/>
    <xf numFmtId="0" fontId="0" fillId="3" borderId="165" xfId="0" applyFill="1" applyBorder="1"/>
    <xf numFmtId="0" fontId="0" fillId="3" borderId="166" xfId="0" applyFill="1" applyBorder="1"/>
    <xf numFmtId="0" fontId="0" fillId="3" borderId="167" xfId="0" applyFill="1" applyBorder="1"/>
    <xf numFmtId="0" fontId="116" fillId="3" borderId="166" xfId="0" applyFont="1" applyFill="1" applyBorder="1"/>
    <xf numFmtId="0" fontId="0" fillId="3" borderId="169" xfId="0" applyFill="1" applyBorder="1"/>
    <xf numFmtId="0" fontId="0" fillId="3" borderId="168" xfId="0" applyFill="1" applyBorder="1"/>
    <xf numFmtId="0" fontId="0" fillId="3" borderId="0" xfId="0" applyFill="1" applyAlignment="1">
      <alignment horizontal="left" indent="1"/>
    </xf>
    <xf numFmtId="6" fontId="118" fillId="3" borderId="0" xfId="0" applyNumberFormat="1" applyFont="1" applyFill="1" applyAlignment="1">
      <alignment horizontal="left"/>
    </xf>
    <xf numFmtId="0" fontId="114" fillId="3" borderId="0" xfId="0" applyFont="1" applyFill="1"/>
    <xf numFmtId="6" fontId="43" fillId="3" borderId="168" xfId="0" applyNumberFormat="1" applyFont="1" applyFill="1" applyBorder="1" applyAlignment="1">
      <alignment horizontal="left" indent="1"/>
    </xf>
    <xf numFmtId="0" fontId="115" fillId="3" borderId="0" xfId="0" applyFont="1" applyFill="1"/>
    <xf numFmtId="6" fontId="115" fillId="3" borderId="0" xfId="0" applyNumberFormat="1" applyFont="1" applyFill="1"/>
    <xf numFmtId="0" fontId="116" fillId="3" borderId="0" xfId="0" applyFont="1" applyFill="1" applyAlignment="1">
      <alignment horizontal="left" indent="1"/>
    </xf>
    <xf numFmtId="6" fontId="116" fillId="3" borderId="0" xfId="0" applyNumberFormat="1" applyFont="1" applyFill="1"/>
    <xf numFmtId="6" fontId="114" fillId="3" borderId="0" xfId="0" applyNumberFormat="1" applyFont="1" applyFill="1"/>
    <xf numFmtId="17" fontId="115" fillId="3" borderId="0" xfId="0" applyNumberFormat="1" applyFont="1" applyFill="1" applyAlignment="1">
      <alignment horizontal="left"/>
    </xf>
    <xf numFmtId="0" fontId="114" fillId="3" borderId="1" xfId="0" applyFont="1" applyFill="1" applyBorder="1"/>
    <xf numFmtId="0" fontId="117" fillId="3" borderId="0" xfId="0" applyFont="1" applyFill="1"/>
    <xf numFmtId="0" fontId="0" fillId="3" borderId="170" xfId="0" applyFill="1" applyBorder="1"/>
    <xf numFmtId="0" fontId="0" fillId="3" borderId="171" xfId="0" applyFill="1" applyBorder="1"/>
    <xf numFmtId="0" fontId="0" fillId="3" borderId="172" xfId="0" applyFill="1" applyBorder="1"/>
    <xf numFmtId="0" fontId="116" fillId="3" borderId="171" xfId="0" applyFont="1" applyFill="1" applyBorder="1"/>
    <xf numFmtId="0" fontId="116" fillId="3" borderId="171" xfId="0" applyFont="1" applyFill="1" applyBorder="1" applyAlignment="1">
      <alignment horizontal="left" indent="1"/>
    </xf>
    <xf numFmtId="6" fontId="116" fillId="3" borderId="171" xfId="0" applyNumberFormat="1" applyFont="1" applyFill="1" applyBorder="1"/>
    <xf numFmtId="17" fontId="116" fillId="3" borderId="0" xfId="0" applyNumberFormat="1" applyFont="1" applyFill="1"/>
    <xf numFmtId="6" fontId="114" fillId="3" borderId="1" xfId="0" applyNumberFormat="1" applyFont="1" applyFill="1" applyBorder="1"/>
    <xf numFmtId="0" fontId="114" fillId="3" borderId="0" xfId="0" applyFont="1" applyFill="1" applyAlignment="1">
      <alignment horizontal="left" indent="1"/>
    </xf>
    <xf numFmtId="6" fontId="117" fillId="3" borderId="0" xfId="0" applyNumberFormat="1" applyFont="1" applyFill="1"/>
    <xf numFmtId="0" fontId="114" fillId="3" borderId="1" xfId="0" applyFont="1" applyFill="1" applyBorder="1" applyAlignment="1">
      <alignment horizontal="left" indent="1"/>
    </xf>
    <xf numFmtId="6" fontId="124" fillId="0" borderId="0" xfId="0" applyNumberFormat="1" applyFont="1"/>
    <xf numFmtId="6" fontId="122" fillId="0" borderId="0" xfId="0" applyNumberFormat="1" applyFont="1"/>
    <xf numFmtId="0" fontId="0" fillId="31" borderId="165" xfId="0" applyFill="1" applyBorder="1"/>
    <xf numFmtId="0" fontId="0" fillId="31" borderId="166" xfId="0" applyFill="1" applyBorder="1"/>
    <xf numFmtId="0" fontId="116" fillId="31" borderId="166" xfId="0" applyFont="1" applyFill="1" applyBorder="1"/>
    <xf numFmtId="0" fontId="0" fillId="31" borderId="167" xfId="0" applyFill="1" applyBorder="1"/>
    <xf numFmtId="0" fontId="0" fillId="31" borderId="168" xfId="0" applyFill="1" applyBorder="1"/>
    <xf numFmtId="0" fontId="1" fillId="31" borderId="0" xfId="0" applyFont="1" applyFill="1"/>
    <xf numFmtId="0" fontId="0" fillId="31" borderId="169" xfId="0" applyFill="1" applyBorder="1"/>
    <xf numFmtId="0" fontId="43" fillId="31" borderId="0" xfId="0" applyFont="1" applyFill="1"/>
    <xf numFmtId="0" fontId="118" fillId="31" borderId="0" xfId="0" applyFont="1" applyFill="1"/>
    <xf numFmtId="0" fontId="114" fillId="31" borderId="0" xfId="0" applyFont="1" applyFill="1"/>
    <xf numFmtId="0" fontId="118" fillId="31" borderId="0" xfId="0" applyFont="1" applyFill="1" applyAlignment="1">
      <alignment horizontal="right"/>
    </xf>
    <xf numFmtId="0" fontId="119" fillId="31" borderId="0" xfId="0" applyFont="1" applyFill="1" applyAlignment="1">
      <alignment horizontal="right"/>
    </xf>
    <xf numFmtId="0" fontId="0" fillId="31" borderId="170" xfId="0" applyFill="1" applyBorder="1"/>
    <xf numFmtId="0" fontId="0" fillId="31" borderId="171" xfId="0" applyFill="1" applyBorder="1"/>
    <xf numFmtId="0" fontId="116" fillId="31" borderId="171" xfId="0" applyFont="1" applyFill="1" applyBorder="1"/>
    <xf numFmtId="0" fontId="0" fillId="31" borderId="172" xfId="0" applyFill="1" applyBorder="1"/>
    <xf numFmtId="0" fontId="119" fillId="31" borderId="171" xfId="0" applyFont="1" applyFill="1" applyBorder="1"/>
    <xf numFmtId="6" fontId="118" fillId="3" borderId="0" xfId="0" applyNumberFormat="1" applyFont="1" applyFill="1"/>
    <xf numFmtId="0" fontId="0" fillId="3" borderId="1" xfId="0" applyFill="1" applyBorder="1"/>
    <xf numFmtId="0" fontId="116" fillId="3" borderId="165" xfId="0" applyFont="1" applyFill="1" applyBorder="1"/>
    <xf numFmtId="10" fontId="114" fillId="3" borderId="0" xfId="0" applyNumberFormat="1" applyFont="1" applyFill="1"/>
    <xf numFmtId="0" fontId="114" fillId="3" borderId="169" xfId="0" applyFont="1" applyFill="1" applyBorder="1"/>
    <xf numFmtId="0" fontId="114" fillId="3" borderId="168" xfId="0" applyFont="1" applyFill="1" applyBorder="1" applyAlignment="1">
      <alignment horizontal="left" indent="1"/>
    </xf>
    <xf numFmtId="0" fontId="114" fillId="3" borderId="0" xfId="0" applyFont="1" applyFill="1" applyAlignment="1">
      <alignment horizontal="left" vertical="top"/>
    </xf>
    <xf numFmtId="0" fontId="114" fillId="3" borderId="0" xfId="0" applyFont="1" applyFill="1" applyAlignment="1">
      <alignment horizontal="right" vertical="top" wrapText="1"/>
    </xf>
    <xf numFmtId="0" fontId="43" fillId="3" borderId="168" xfId="0" applyFont="1" applyFill="1" applyBorder="1"/>
    <xf numFmtId="6" fontId="121" fillId="3" borderId="0" xfId="0" applyNumberFormat="1" applyFont="1" applyFill="1"/>
    <xf numFmtId="0" fontId="114" fillId="3" borderId="0" xfId="0" applyFont="1" applyFill="1" applyAlignment="1">
      <alignment horizontal="left" indent="3"/>
    </xf>
    <xf numFmtId="0" fontId="44" fillId="3" borderId="173" xfId="0" applyFont="1" applyFill="1" applyBorder="1" applyAlignment="1">
      <alignment horizontal="left" indent="1"/>
    </xf>
    <xf numFmtId="0" fontId="44" fillId="3" borderId="1" xfId="0" applyFont="1" applyFill="1" applyBorder="1" applyAlignment="1">
      <alignment horizontal="left" indent="1"/>
    </xf>
    <xf numFmtId="0" fontId="44" fillId="3" borderId="1" xfId="0" applyFont="1" applyFill="1" applyBorder="1"/>
    <xf numFmtId="0" fontId="116" fillId="3" borderId="1" xfId="0" applyFont="1" applyFill="1" applyBorder="1"/>
    <xf numFmtId="0" fontId="0" fillId="3" borderId="1" xfId="0" applyFill="1" applyBorder="1" applyAlignment="1">
      <alignment horizontal="left" indent="1"/>
    </xf>
    <xf numFmtId="6" fontId="0" fillId="3" borderId="1" xfId="0" applyNumberFormat="1" applyFill="1" applyBorder="1"/>
    <xf numFmtId="194" fontId="119" fillId="3" borderId="1" xfId="0" applyNumberFormat="1" applyFont="1" applyFill="1" applyBorder="1"/>
    <xf numFmtId="0" fontId="116" fillId="31" borderId="1" xfId="0" applyFont="1" applyFill="1" applyBorder="1"/>
    <xf numFmtId="0" fontId="1" fillId="31" borderId="1" xfId="0" applyFont="1" applyFill="1" applyBorder="1"/>
    <xf numFmtId="196" fontId="43" fillId="0" borderId="0" xfId="0" applyNumberFormat="1" applyFont="1"/>
    <xf numFmtId="171" fontId="43" fillId="0" borderId="0" xfId="0" applyNumberFormat="1" applyFont="1"/>
    <xf numFmtId="0" fontId="43" fillId="11" borderId="0" xfId="0" applyFont="1" applyFill="1"/>
    <xf numFmtId="196" fontId="43" fillId="11" borderId="0" xfId="0" applyNumberFormat="1" applyFont="1" applyFill="1"/>
    <xf numFmtId="171" fontId="43" fillId="11" borderId="0" xfId="0" applyNumberFormat="1" applyFont="1" applyFill="1"/>
    <xf numFmtId="0" fontId="43" fillId="0" borderId="1" xfId="0" applyFont="1" applyBorder="1"/>
    <xf numFmtId="0" fontId="43" fillId="0" borderId="2" xfId="0" applyFont="1" applyBorder="1" applyAlignment="1">
      <alignment horizontal="center" wrapText="1"/>
    </xf>
    <xf numFmtId="0" fontId="43" fillId="0" borderId="1" xfId="0" applyFont="1" applyBorder="1" applyAlignment="1">
      <alignment horizontal="center" wrapText="1"/>
    </xf>
    <xf numFmtId="0" fontId="43" fillId="0" borderId="174" xfId="0" applyFont="1" applyBorder="1" applyAlignment="1">
      <alignment horizontal="center" wrapText="1"/>
    </xf>
    <xf numFmtId="0" fontId="44" fillId="0" borderId="1" xfId="0" applyFont="1" applyBorder="1" applyAlignment="1">
      <alignment horizontal="centerContinuous"/>
    </xf>
    <xf numFmtId="0" fontId="43" fillId="0" borderId="1" xfId="0" applyFont="1" applyBorder="1" applyAlignment="1">
      <alignment horizontal="centerContinuous"/>
    </xf>
    <xf numFmtId="0" fontId="43" fillId="40" borderId="0" xfId="0" applyFont="1" applyFill="1"/>
    <xf numFmtId="6" fontId="43" fillId="40" borderId="0" xfId="0" applyNumberFormat="1" applyFont="1" applyFill="1"/>
    <xf numFmtId="171" fontId="43" fillId="40" borderId="0" xfId="0" applyNumberFormat="1" applyFont="1" applyFill="1"/>
    <xf numFmtId="0" fontId="1" fillId="41" borderId="1" xfId="0" applyFont="1" applyFill="1" applyBorder="1"/>
    <xf numFmtId="0" fontId="0" fillId="41" borderId="1" xfId="0" applyFill="1" applyBorder="1"/>
    <xf numFmtId="0" fontId="0" fillId="41" borderId="0" xfId="0" applyFill="1"/>
    <xf numFmtId="9" fontId="3" fillId="0" borderId="0" xfId="0" applyNumberFormat="1" applyFont="1"/>
    <xf numFmtId="181" fontId="71" fillId="2" borderId="0" xfId="0" applyNumberFormat="1" applyFont="1" applyFill="1"/>
    <xf numFmtId="197" fontId="125" fillId="0" borderId="0" xfId="0" applyNumberFormat="1" applyFont="1"/>
    <xf numFmtId="0" fontId="0" fillId="42" borderId="0" xfId="0" applyFill="1"/>
    <xf numFmtId="5" fontId="5" fillId="0" borderId="175" xfId="0" applyNumberFormat="1" applyFont="1" applyBorder="1"/>
    <xf numFmtId="37" fontId="3" fillId="0" borderId="24" xfId="0" applyNumberFormat="1" applyFont="1" applyBorder="1"/>
    <xf numFmtId="0" fontId="30" fillId="12" borderId="0" xfId="0" applyFont="1" applyFill="1"/>
    <xf numFmtId="0" fontId="69" fillId="26" borderId="0" xfId="0" applyFont="1" applyFill="1"/>
    <xf numFmtId="0" fontId="2" fillId="26" borderId="0" xfId="0" applyFont="1" applyFill="1"/>
    <xf numFmtId="37" fontId="2" fillId="26" borderId="0" xfId="0" applyNumberFormat="1" applyFont="1" applyFill="1"/>
    <xf numFmtId="0" fontId="0" fillId="0" borderId="0" xfId="0" applyAlignment="1">
      <alignment horizontal="center" wrapText="1"/>
    </xf>
    <xf numFmtId="198" fontId="0" fillId="0" borderId="0" xfId="0" applyNumberFormat="1"/>
    <xf numFmtId="199" fontId="0" fillId="0" borderId="0" xfId="0" applyNumberFormat="1" applyAlignment="1">
      <alignment horizontal="center"/>
    </xf>
    <xf numFmtId="14" fontId="0" fillId="0" borderId="0" xfId="0" applyNumberFormat="1" applyAlignment="1">
      <alignment horizontal="center" wrapText="1"/>
    </xf>
    <xf numFmtId="0" fontId="0" fillId="43" borderId="165" xfId="0" applyFill="1" applyBorder="1"/>
    <xf numFmtId="0" fontId="116" fillId="43" borderId="166" xfId="0" applyFont="1" applyFill="1" applyBorder="1"/>
    <xf numFmtId="0" fontId="0" fillId="43" borderId="166" xfId="0" applyFill="1" applyBorder="1"/>
    <xf numFmtId="0" fontId="0" fillId="43" borderId="167" xfId="0" applyFill="1" applyBorder="1"/>
    <xf numFmtId="0" fontId="0" fillId="43" borderId="168" xfId="0" applyFill="1" applyBorder="1"/>
    <xf numFmtId="0" fontId="44" fillId="43" borderId="1" xfId="0" applyFont="1" applyFill="1" applyBorder="1"/>
    <xf numFmtId="6" fontId="0" fillId="43" borderId="1" xfId="0" applyNumberFormat="1" applyFill="1" applyBorder="1"/>
    <xf numFmtId="0" fontId="116" fillId="43" borderId="1" xfId="0" applyFont="1" applyFill="1" applyBorder="1"/>
    <xf numFmtId="194" fontId="119" fillId="43" borderId="1" xfId="0" applyNumberFormat="1" applyFont="1" applyFill="1" applyBorder="1"/>
    <xf numFmtId="0" fontId="0" fillId="43" borderId="169" xfId="0" applyFill="1" applyBorder="1"/>
    <xf numFmtId="0" fontId="114" fillId="43" borderId="169" xfId="0" applyFont="1" applyFill="1" applyBorder="1"/>
    <xf numFmtId="0" fontId="114" fillId="43" borderId="0" xfId="0" applyFont="1" applyFill="1"/>
    <xf numFmtId="0" fontId="43" fillId="43" borderId="168" xfId="0" applyFont="1" applyFill="1" applyBorder="1"/>
    <xf numFmtId="6" fontId="114" fillId="43" borderId="0" xfId="0" applyNumberFormat="1" applyFont="1" applyFill="1"/>
    <xf numFmtId="0" fontId="0" fillId="43" borderId="170" xfId="0" applyFill="1" applyBorder="1"/>
    <xf numFmtId="0" fontId="116" fillId="43" borderId="171" xfId="0" applyFont="1" applyFill="1" applyBorder="1"/>
    <xf numFmtId="0" fontId="0" fillId="43" borderId="171" xfId="0" applyFill="1" applyBorder="1"/>
    <xf numFmtId="0" fontId="0" fillId="43" borderId="172" xfId="0" applyFill="1" applyBorder="1"/>
    <xf numFmtId="6" fontId="121" fillId="43" borderId="0" xfId="0" applyNumberFormat="1" applyFont="1" applyFill="1"/>
    <xf numFmtId="194" fontId="121" fillId="43" borderId="0" xfId="0" applyNumberFormat="1" applyFont="1" applyFill="1"/>
    <xf numFmtId="0" fontId="128" fillId="43" borderId="0" xfId="0" applyFont="1" applyFill="1"/>
    <xf numFmtId="6" fontId="79" fillId="15" borderId="87" xfId="0" applyNumberFormat="1" applyFont="1" applyFill="1" applyBorder="1" applyAlignment="1">
      <alignment horizontal="left" vertical="center" wrapText="1" indent="1" readingOrder="1"/>
    </xf>
    <xf numFmtId="6" fontId="79" fillId="15" borderId="107" xfId="0" applyNumberFormat="1" applyFont="1" applyFill="1" applyBorder="1" applyAlignment="1">
      <alignment horizontal="left" vertical="center" wrapText="1" indent="1" readingOrder="1"/>
    </xf>
    <xf numFmtId="6" fontId="79" fillId="15" borderId="156" xfId="0" applyNumberFormat="1" applyFont="1" applyFill="1" applyBorder="1" applyAlignment="1">
      <alignment horizontal="left" vertical="center" wrapText="1" indent="1" readingOrder="1"/>
    </xf>
    <xf numFmtId="6" fontId="79" fillId="15" borderId="158" xfId="0" applyNumberFormat="1" applyFont="1" applyFill="1" applyBorder="1" applyAlignment="1">
      <alignment horizontal="left" vertical="center" wrapText="1" indent="1" readingOrder="1"/>
    </xf>
    <xf numFmtId="6" fontId="59" fillId="20" borderId="72" xfId="0" applyNumberFormat="1" applyFont="1" applyFill="1" applyBorder="1" applyAlignment="1">
      <alignment horizontal="center" vertical="center" wrapText="1"/>
    </xf>
    <xf numFmtId="0" fontId="0" fillId="0" borderId="72" xfId="0" applyBorder="1"/>
    <xf numFmtId="0" fontId="0" fillId="0" borderId="74" xfId="0" applyBorder="1"/>
    <xf numFmtId="190" fontId="59" fillId="20" borderId="77" xfId="0" applyNumberFormat="1" applyFont="1" applyFill="1" applyBorder="1" applyAlignment="1">
      <alignment horizontal="center" vertical="center" wrapText="1"/>
    </xf>
    <xf numFmtId="0" fontId="0" fillId="0" borderId="0" xfId="0"/>
    <xf numFmtId="0" fontId="126" fillId="43" borderId="0" xfId="0" applyFont="1" applyFill="1"/>
    <xf numFmtId="6" fontId="114" fillId="3" borderId="6" xfId="0" applyNumberFormat="1" applyFont="1" applyFill="1" applyBorder="1"/>
    <xf numFmtId="6" fontId="114" fillId="0" borderId="6" xfId="0" applyNumberFormat="1" applyFont="1" applyBorder="1"/>
    <xf numFmtId="0" fontId="126" fillId="43" borderId="6" xfId="0" applyFont="1" applyFill="1" applyBorder="1"/>
    <xf numFmtId="10" fontId="126" fillId="43" borderId="0" xfId="0" applyNumberFormat="1" applyFont="1" applyFill="1"/>
    <xf numFmtId="195" fontId="127" fillId="43" borderId="6" xfId="0" applyNumberFormat="1" applyFont="1" applyFill="1" applyBorder="1"/>
    <xf numFmtId="194" fontId="121" fillId="3" borderId="0" xfId="0" applyNumberFormat="1" applyFont="1" applyFill="1"/>
    <xf numFmtId="0" fontId="114" fillId="3" borderId="0" xfId="0" applyFont="1" applyFill="1"/>
    <xf numFmtId="0" fontId="123" fillId="3" borderId="0" xfId="0" applyFont="1" applyFill="1" applyAlignment="1">
      <alignment horizontal="right" vertical="top" wrapText="1"/>
    </xf>
    <xf numFmtId="0" fontId="4" fillId="3" borderId="0" xfId="0" applyFont="1" applyFill="1"/>
    <xf numFmtId="6" fontId="118" fillId="3" borderId="0" xfId="0" applyNumberFormat="1" applyFont="1" applyFill="1"/>
    <xf numFmtId="0" fontId="0" fillId="3" borderId="0" xfId="0" applyFill="1"/>
    <xf numFmtId="195" fontId="118" fillId="3" borderId="0" xfId="0" applyNumberFormat="1" applyFont="1" applyFill="1"/>
    <xf numFmtId="195" fontId="119" fillId="3" borderId="0" xfId="0" applyNumberFormat="1" applyFont="1" applyFill="1"/>
    <xf numFmtId="17" fontId="116" fillId="3" borderId="0" xfId="0" applyNumberFormat="1" applyFont="1" applyFill="1" applyAlignment="1">
      <alignment horizontal="center"/>
    </xf>
    <xf numFmtId="0" fontId="0" fillId="3" borderId="0" xfId="0" applyFill="1" applyAlignment="1">
      <alignment horizontal="center"/>
    </xf>
    <xf numFmtId="6" fontId="114" fillId="3" borderId="0" xfId="0" applyNumberFormat="1" applyFont="1" applyFill="1" applyAlignment="1">
      <alignment horizontal="center"/>
    </xf>
    <xf numFmtId="6" fontId="123" fillId="31" borderId="0" xfId="0" applyNumberFormat="1" applyFont="1" applyFill="1"/>
    <xf numFmtId="0" fontId="123" fillId="31" borderId="0" xfId="0" applyFont="1" applyFill="1"/>
    <xf numFmtId="6" fontId="118" fillId="31" borderId="0" xfId="0" applyNumberFormat="1" applyFont="1" applyFill="1"/>
    <xf numFmtId="0" fontId="0" fillId="31" borderId="0" xfId="0" applyFill="1"/>
    <xf numFmtId="6" fontId="120" fillId="3" borderId="0" xfId="0" applyNumberFormat="1" applyFont="1" applyFill="1"/>
    <xf numFmtId="6" fontId="114" fillId="3" borderId="0" xfId="0" applyNumberFormat="1" applyFont="1" applyFill="1"/>
    <xf numFmtId="6" fontId="0" fillId="3" borderId="0" xfId="0" applyNumberFormat="1" applyFill="1"/>
    <xf numFmtId="6" fontId="114" fillId="3" borderId="1" xfId="0" applyNumberFormat="1" applyFont="1" applyFill="1" applyBorder="1"/>
    <xf numFmtId="6" fontId="0" fillId="3" borderId="1" xfId="0" applyNumberFormat="1" applyFill="1" applyBorder="1"/>
    <xf numFmtId="5" fontId="117" fillId="3" borderId="6" xfId="0" applyNumberFormat="1" applyFont="1" applyFill="1" applyBorder="1"/>
    <xf numFmtId="5" fontId="0" fillId="3" borderId="6" xfId="0" applyNumberFormat="1" applyFill="1" applyBorder="1"/>
    <xf numFmtId="6" fontId="43" fillId="0" borderId="168" xfId="0" applyNumberFormat="1" applyFont="1" applyBorder="1" applyAlignment="1">
      <alignment horizontal="left" indent="1"/>
    </xf>
    <xf numFmtId="0" fontId="0" fillId="0" borderId="0" xfId="0" applyAlignment="1">
      <alignment horizontal="left" indent="1"/>
    </xf>
    <xf numFmtId="6" fontId="118" fillId="3" borderId="168" xfId="0" applyNumberFormat="1" applyFont="1" applyFill="1" applyBorder="1" applyAlignment="1">
      <alignment horizontal="left" indent="1"/>
    </xf>
    <xf numFmtId="0" fontId="119" fillId="3" borderId="0" xfId="0" applyFont="1" applyFill="1" applyAlignment="1">
      <alignment horizontal="left" indent="1"/>
    </xf>
    <xf numFmtId="0" fontId="95" fillId="20" borderId="154" xfId="0" quotePrefix="1" applyFont="1" applyFill="1" applyBorder="1" applyAlignment="1">
      <alignment horizontal="left" vertical="center" wrapText="1" indent="3" readingOrder="1"/>
    </xf>
    <xf numFmtId="0" fontId="0" fillId="0" borderId="155" xfId="0" applyBorder="1" applyAlignment="1">
      <alignment horizontal="left" vertical="center" wrapText="1" readingOrder="1"/>
    </xf>
    <xf numFmtId="0" fontId="95" fillId="20" borderId="87" xfId="0" applyFont="1" applyFill="1" applyBorder="1" applyAlignment="1">
      <alignment horizontal="left" vertical="center" wrapText="1" indent="3" readingOrder="1"/>
    </xf>
    <xf numFmtId="0" fontId="0" fillId="0" borderId="107" xfId="0" applyBorder="1" applyAlignment="1">
      <alignment horizontal="left" vertical="center" wrapText="1" readingOrder="1"/>
    </xf>
    <xf numFmtId="0" fontId="94" fillId="20" borderId="87" xfId="0" applyFont="1" applyFill="1" applyBorder="1" applyAlignment="1">
      <alignment horizontal="left" vertical="center" wrapText="1" indent="3" readingOrder="1"/>
    </xf>
    <xf numFmtId="0" fontId="104" fillId="38" borderId="147" xfId="0" applyFont="1" applyFill="1" applyBorder="1" applyAlignment="1">
      <alignment horizontal="center" vertical="center" wrapText="1" readingOrder="1"/>
    </xf>
    <xf numFmtId="0" fontId="99" fillId="38" borderId="87" xfId="0" applyFont="1" applyFill="1" applyBorder="1" applyAlignment="1">
      <alignment horizontal="center" vertical="center" wrapText="1" readingOrder="1"/>
    </xf>
    <xf numFmtId="0" fontId="107" fillId="0" borderId="87" xfId="0" applyFont="1" applyBorder="1" applyAlignment="1">
      <alignment horizontal="center" vertical="center" wrapText="1" readingOrder="1"/>
    </xf>
    <xf numFmtId="0" fontId="28" fillId="0" borderId="82" xfId="0" applyFont="1" applyBorder="1"/>
    <xf numFmtId="171" fontId="106" fillId="22" borderId="88" xfId="0" applyNumberFormat="1" applyFont="1" applyFill="1" applyBorder="1" applyAlignment="1">
      <alignment horizontal="right" vertical="center" wrapText="1" readingOrder="1"/>
    </xf>
    <xf numFmtId="0" fontId="0" fillId="0" borderId="81" xfId="0" applyBorder="1"/>
    <xf numFmtId="164" fontId="20" fillId="0" borderId="0" xfId="0" applyNumberFormat="1" applyFont="1" applyAlignment="1">
      <alignment horizontal="left" vertical="center" wrapText="1"/>
    </xf>
    <xf numFmtId="0" fontId="21" fillId="0" borderId="0" xfId="0" applyFont="1"/>
    <xf numFmtId="0" fontId="28" fillId="0" borderId="0" xfId="0" applyFont="1"/>
    <xf numFmtId="6" fontId="16" fillId="0" borderId="0" xfId="0" applyNumberFormat="1" applyFont="1" applyAlignment="1">
      <alignment horizontal="center" wrapText="1"/>
    </xf>
    <xf numFmtId="0" fontId="44" fillId="20" borderId="59" xfId="0" applyFont="1" applyFill="1" applyBorder="1" applyAlignment="1">
      <alignment horizontal="center" wrapText="1"/>
    </xf>
    <xf numFmtId="0" fontId="0" fillId="0" borderId="72" xfId="0" applyBorder="1" applyAlignment="1">
      <alignment horizontal="center" wrapText="1"/>
    </xf>
    <xf numFmtId="0" fontId="48" fillId="20" borderId="115" xfId="0" applyFont="1" applyFill="1" applyBorder="1" applyAlignment="1">
      <alignment horizontal="center" wrapText="1"/>
    </xf>
    <xf numFmtId="0" fontId="75" fillId="0" borderId="56" xfId="0" applyFont="1" applyBorder="1" applyAlignment="1">
      <alignment horizontal="center" wrapText="1"/>
    </xf>
    <xf numFmtId="0" fontId="48" fillId="20" borderId="59" xfId="0" applyFont="1" applyFill="1" applyBorder="1" applyAlignment="1">
      <alignment horizontal="center" wrapText="1"/>
    </xf>
    <xf numFmtId="0" fontId="75" fillId="0" borderId="72" xfId="0" applyFont="1" applyBorder="1" applyAlignment="1">
      <alignment horizontal="center" wrapText="1"/>
    </xf>
  </cellXfs>
  <cellStyles count="4">
    <cellStyle name="Hyperlink" xfId="2" builtinId="8"/>
    <cellStyle name="Normal" xfId="0" builtinId="0"/>
    <cellStyle name="Normal 2" xfId="1" xr:uid="{C323BA72-19AE-4E9C-91BE-E51B19BEF2A9}"/>
    <cellStyle name="Normal 3" xfId="3" xr:uid="{F2379336-D8DE-4DF1-8E0A-749DE2A11642}"/>
  </cellStyles>
  <dxfs count="16">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92D050"/>
        </patternFill>
      </fill>
    </dxf>
    <dxf>
      <fill>
        <patternFill>
          <bgColor rgb="FFFF0000"/>
        </patternFill>
      </fill>
    </dxf>
    <dxf>
      <border>
        <left style="thin">
          <color rgb="FFC00000"/>
        </left>
        <right style="thin">
          <color rgb="FFC00000"/>
        </right>
        <top style="thin">
          <color rgb="FFC00000"/>
        </top>
        <bottom style="thin">
          <color rgb="FFC00000"/>
        </bottom>
        <vertical/>
        <horizontal/>
      </border>
    </dxf>
  </dxfs>
  <tableStyles count="0" defaultTableStyle="TableStyleMedium2" defaultPivotStyle="PivotStyleLight16"/>
  <colors>
    <mruColors>
      <color rgb="FF000000"/>
      <color rgb="FF5B9BD5"/>
      <color rgb="FF52CAB8"/>
      <color rgb="FFBDD7EE"/>
      <color rgb="FFCFD5EA"/>
      <color rgb="FF333F50"/>
      <color rgb="FF0000E1"/>
      <color rgb="FFFFCC00"/>
      <color rgb="FFCC0000"/>
      <color rgb="FFC5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023505287671445E-3"/>
          <c:y val="0.27368553162405568"/>
          <c:w val="0.94948335246842708"/>
          <c:h val="0.45975008350992608"/>
        </c:manualLayout>
      </c:layout>
      <c:barChart>
        <c:barDir val="col"/>
        <c:grouping val="clustered"/>
        <c:varyColors val="0"/>
        <c:ser>
          <c:idx val="0"/>
          <c:order val="0"/>
          <c:tx>
            <c:strRef>
              <c:f>'Long-Term Forecast'!$A$3</c:f>
              <c:strCache>
                <c:ptCount val="1"/>
                <c:pt idx="0">
                  <c:v>Go Alone</c:v>
                </c:pt>
              </c:strCache>
            </c:strRef>
          </c:tx>
          <c:spPr>
            <a:solidFill>
              <a:srgbClr val="5B9BD5"/>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'Long-Term Forecast'!$C$1:$E$1</c:f>
              <c:numCache>
                <c:formatCode>General</c:formatCode>
                <c:ptCount val="3"/>
                <c:pt idx="0">
                  <c:v>2030</c:v>
                </c:pt>
                <c:pt idx="1">
                  <c:v>2035</c:v>
                </c:pt>
                <c:pt idx="2">
                  <c:v>2040</c:v>
                </c:pt>
              </c:numCache>
            </c:numRef>
          </c:cat>
          <c:val>
            <c:numRef>
              <c:f>'Long-Term Forecast'!$C$3:$E$3</c:f>
              <c:numCache>
                <c:formatCode>"$"#,##0_);[Red]\("$"#,##0\)</c:formatCode>
                <c:ptCount val="3"/>
                <c:pt idx="0">
                  <c:v>6449549.0677077901</c:v>
                </c:pt>
                <c:pt idx="1">
                  <c:v>8548634.365547318</c:v>
                </c:pt>
                <c:pt idx="2">
                  <c:v>11420835.008112997</c:v>
                </c:pt>
              </c:numCache>
            </c:numRef>
          </c:val>
          <c:extLst>
            <c:ext xmlns:c16="http://schemas.microsoft.com/office/drawing/2014/chart" uri="{C3380CC4-5D6E-409C-BE32-E72D297353CC}">
              <c16:uniqueId val="{00000000-4284-4830-9849-4F23F6BDDA48}"/>
            </c:ext>
          </c:extLst>
        </c:ser>
        <c:ser>
          <c:idx val="1"/>
          <c:order val="1"/>
          <c:tx>
            <c:strRef>
              <c:f>'Long-Term Forecast'!$A$4</c:f>
              <c:strCache>
                <c:ptCount val="1"/>
                <c:pt idx="0">
                  <c:v>With GURU</c:v>
                </c:pt>
              </c:strCache>
            </c:strRef>
          </c:tx>
          <c:spPr>
            <a:solidFill>
              <a:srgbClr val="52CAB8"/>
            </a:solidFill>
            <a:ln>
              <a:noFill/>
            </a:ln>
            <a:effectLst/>
          </c:spPr>
          <c:invertIfNegative val="0"/>
          <c:dLbls>
            <c:dLbl>
              <c:idx val="0"/>
              <c:layout>
                <c:manualLayout>
                  <c:x val="1.2331157669197469E-2"/>
                  <c:y val="-9.25912801486421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284-4830-9849-4F23F6BDDA48}"/>
                </c:ext>
              </c:extLst>
            </c:dLbl>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'Long-Term Forecast'!$C$1:$E$1</c:f>
              <c:numCache>
                <c:formatCode>General</c:formatCode>
                <c:ptCount val="3"/>
                <c:pt idx="0">
                  <c:v>2030</c:v>
                </c:pt>
                <c:pt idx="1">
                  <c:v>2035</c:v>
                </c:pt>
                <c:pt idx="2">
                  <c:v>2040</c:v>
                </c:pt>
              </c:numCache>
            </c:numRef>
          </c:cat>
          <c:val>
            <c:numRef>
              <c:f>'Long-Term Forecast'!$C$4:$E$4</c:f>
              <c:numCache>
                <c:formatCode>"$"#,##0_);[Red]\("$"#,##0\)</c:formatCode>
                <c:ptCount val="3"/>
                <c:pt idx="0">
                  <c:v>6449549.0677077901</c:v>
                </c:pt>
                <c:pt idx="1">
                  <c:v>8548634.365547318</c:v>
                </c:pt>
                <c:pt idx="2">
                  <c:v>11420835.008112997</c:v>
                </c:pt>
              </c:numCache>
            </c:numRef>
          </c:val>
          <c:extLst>
            <c:ext xmlns:c16="http://schemas.microsoft.com/office/drawing/2014/chart" uri="{C3380CC4-5D6E-409C-BE32-E72D297353CC}">
              <c16:uniqueId val="{00000001-4284-4830-9849-4F23F6BDDA48}"/>
            </c:ext>
          </c:extLst>
        </c:ser>
        <c:dLbls>
          <c:showLegendKey val="0"/>
          <c:showVal val="0"/>
          <c:showCatName val="0"/>
          <c:showSerName val="0"/>
          <c:showPercent val="0"/>
          <c:showBubbleSize val="0"/>
        </c:dLbls>
        <c:gapWidth val="219"/>
        <c:overlap val="-27"/>
        <c:axId val="1286633327"/>
        <c:axId val="1286630447"/>
      </c:barChart>
      <c:catAx>
        <c:axId val="12866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286630447"/>
        <c:crosses val="autoZero"/>
        <c:auto val="1"/>
        <c:lblAlgn val="ctr"/>
        <c:lblOffset val="100"/>
        <c:noMultiLvlLbl val="0"/>
      </c:catAx>
      <c:valAx>
        <c:axId val="1286630447"/>
        <c:scaling>
          <c:orientation val="minMax"/>
          <c:min val="5000000"/>
        </c:scaling>
        <c:delete val="1"/>
        <c:axPos val="l"/>
        <c:numFmt formatCode="&quot;$&quot;#,##0_);[Red]\(&quot;$&quot;#,##0\)" sourceLinked="1"/>
        <c:majorTickMark val="out"/>
        <c:minorTickMark val="none"/>
        <c:tickLblPos val="nextTo"/>
        <c:crossAx val="12866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val>
            <c:numRef>
              <c:f>'Long-Term Forecast'!$G$1:$J$1</c:f>
              <c:numCache>
                <c:formatCode>General</c:formatCode>
                <c:ptCount val="4"/>
                <c:pt idx="0">
                  <c:v>2025</c:v>
                </c:pt>
                <c:pt idx="1">
                  <c:v>2030</c:v>
                </c:pt>
                <c:pt idx="2">
                  <c:v>2035</c:v>
                </c:pt>
                <c:pt idx="3">
                  <c:v>2040</c:v>
                </c:pt>
              </c:numCache>
            </c:numRef>
          </c:val>
          <c:extLst>
            <c:ext xmlns:c16="http://schemas.microsoft.com/office/drawing/2014/chart" uri="{C3380CC4-5D6E-409C-BE32-E72D297353CC}">
              <c16:uniqueId val="{00000000-3422-4750-AA75-26E0CB07C9F6}"/>
            </c:ext>
          </c:extLst>
        </c:ser>
        <c:ser>
          <c:idx val="1"/>
          <c:order val="1"/>
          <c:spPr>
            <a:solidFill>
              <a:schemeClr val="accent2"/>
            </a:solidFill>
            <a:ln>
              <a:noFill/>
            </a:ln>
            <a:effectLst/>
          </c:spPr>
          <c:val>
            <c:numRef>
              <c:f>'Long-Term Forecast'!$G$2:$J$2</c:f>
              <c:numCache>
                <c:formatCode>General</c:formatCode>
                <c:ptCount val="4"/>
              </c:numCache>
            </c:numRef>
          </c:val>
          <c:extLst>
            <c:ext xmlns:c16="http://schemas.microsoft.com/office/drawing/2014/chart" uri="{C3380CC4-5D6E-409C-BE32-E72D297353CC}">
              <c16:uniqueId val="{00000001-3422-4750-AA75-26E0CB07C9F6}"/>
            </c:ext>
          </c:extLst>
        </c:ser>
        <c:ser>
          <c:idx val="2"/>
          <c:order val="2"/>
          <c:spPr>
            <a:solidFill>
              <a:schemeClr val="bg1"/>
            </a:solidFill>
            <a:ln>
              <a:noFill/>
            </a:ln>
            <a:effectLst/>
          </c:spPr>
          <c:val>
            <c:numRef>
              <c:f>'Long-Term Forecast'!$G$3:$J$3</c:f>
              <c:numCache>
                <c:formatCode>"$"#,##0_);[Red]\("$"#,##0\)</c:formatCode>
                <c:ptCount val="4"/>
                <c:pt idx="0">
                  <c:v>4894245.7481165202</c:v>
                </c:pt>
                <c:pt idx="1">
                  <c:v>6449549.0677077901</c:v>
                </c:pt>
                <c:pt idx="2">
                  <c:v>8548634.365547318</c:v>
                </c:pt>
                <c:pt idx="3">
                  <c:v>11420835.008112997</c:v>
                </c:pt>
              </c:numCache>
            </c:numRef>
          </c:val>
          <c:extLst>
            <c:ext xmlns:c16="http://schemas.microsoft.com/office/drawing/2014/chart" uri="{C3380CC4-5D6E-409C-BE32-E72D297353CC}">
              <c16:uniqueId val="{00000002-3422-4750-AA75-26E0CB07C9F6}"/>
            </c:ext>
          </c:extLst>
        </c:ser>
        <c:ser>
          <c:idx val="3"/>
          <c:order val="3"/>
          <c:spPr>
            <a:solidFill>
              <a:schemeClr val="accent4"/>
            </a:solidFill>
            <a:ln>
              <a:noFill/>
            </a:ln>
            <a:effectLst/>
          </c:spPr>
          <c:val>
            <c:numRef>
              <c:f>'Long-Term Forecast'!$G$4:$J$4</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3-3422-4750-AA75-26E0CB07C9F6}"/>
            </c:ext>
          </c:extLst>
        </c:ser>
        <c:dLbls>
          <c:showLegendKey val="0"/>
          <c:showVal val="0"/>
          <c:showCatName val="0"/>
          <c:showSerName val="0"/>
          <c:showPercent val="0"/>
          <c:showBubbleSize val="0"/>
        </c:dLbls>
        <c:axId val="1289486783"/>
        <c:axId val="1289485823"/>
      </c:areaChart>
      <c:catAx>
        <c:axId val="128948678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485823"/>
        <c:crosses val="autoZero"/>
        <c:auto val="1"/>
        <c:lblAlgn val="ctr"/>
        <c:lblOffset val="100"/>
        <c:noMultiLvlLbl val="0"/>
      </c:catAx>
      <c:valAx>
        <c:axId val="1289485823"/>
        <c:scaling>
          <c:orientation val="minMax"/>
          <c:min val="4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4867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104703140470941E-3"/>
          <c:y val="0.23288098793561374"/>
          <c:w val="0.94948335246842708"/>
          <c:h val="0.53803764496452799"/>
        </c:manualLayout>
      </c:layout>
      <c:barChart>
        <c:barDir val="col"/>
        <c:grouping val="clustered"/>
        <c:varyColors val="0"/>
        <c:ser>
          <c:idx val="0"/>
          <c:order val="0"/>
          <c:tx>
            <c:strRef>
              <c:f>'Long-Term Forecast'!$A$7</c:f>
              <c:strCache>
                <c:ptCount val="1"/>
                <c:pt idx="0">
                  <c:v>Go Alone</c:v>
                </c:pt>
              </c:strCache>
            </c:strRef>
          </c:tx>
          <c:spPr>
            <a:solidFill>
              <a:srgbClr val="5B9BD5"/>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'Long-Term Forecast'!$C$1:$E$1</c:f>
              <c:numCache>
                <c:formatCode>General</c:formatCode>
                <c:ptCount val="3"/>
                <c:pt idx="0">
                  <c:v>2030</c:v>
                </c:pt>
                <c:pt idx="1">
                  <c:v>2035</c:v>
                </c:pt>
                <c:pt idx="2">
                  <c:v>2040</c:v>
                </c:pt>
              </c:numCache>
            </c:numRef>
          </c:cat>
          <c:val>
            <c:numRef>
              <c:f>'Long-Term Forecast'!$C$7:$E$7</c:f>
              <c:numCache>
                <c:formatCode>"$"#,##0_);[Red]\("$"#,##0\)</c:formatCode>
                <c:ptCount val="3"/>
                <c:pt idx="0">
                  <c:v>3774143.2237262074</c:v>
                </c:pt>
                <c:pt idx="1">
                  <c:v>5416397.2771948176</c:v>
                </c:pt>
                <c:pt idx="2">
                  <c:v>7828573.3158743661</c:v>
                </c:pt>
              </c:numCache>
            </c:numRef>
          </c:val>
          <c:extLst>
            <c:ext xmlns:c16="http://schemas.microsoft.com/office/drawing/2014/chart" uri="{C3380CC4-5D6E-409C-BE32-E72D297353CC}">
              <c16:uniqueId val="{00000000-C099-46CB-A8F1-3BD6CE3FD2CA}"/>
            </c:ext>
          </c:extLst>
        </c:ser>
        <c:ser>
          <c:idx val="1"/>
          <c:order val="1"/>
          <c:tx>
            <c:strRef>
              <c:f>'Long-Term Forecast'!$A$8</c:f>
              <c:strCache>
                <c:ptCount val="1"/>
                <c:pt idx="0">
                  <c:v>With GURU</c:v>
                </c:pt>
              </c:strCache>
            </c:strRef>
          </c:tx>
          <c:spPr>
            <a:solidFill>
              <a:srgbClr val="52CAB8"/>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'Long-Term Forecast'!$C$1:$E$1</c:f>
              <c:numCache>
                <c:formatCode>General</c:formatCode>
                <c:ptCount val="3"/>
                <c:pt idx="0">
                  <c:v>2030</c:v>
                </c:pt>
                <c:pt idx="1">
                  <c:v>2035</c:v>
                </c:pt>
                <c:pt idx="2">
                  <c:v>2040</c:v>
                </c:pt>
              </c:numCache>
            </c:numRef>
          </c:cat>
          <c:val>
            <c:numRef>
              <c:f>'Long-Term Forecast'!$C$8:$E$8</c:f>
              <c:numCache>
                <c:formatCode>"$"#,##0_);[Red]\("$"#,##0\)</c:formatCode>
                <c:ptCount val="3"/>
                <c:pt idx="0">
                  <c:v>3774143.2237262074</c:v>
                </c:pt>
                <c:pt idx="1">
                  <c:v>5416397.2771948176</c:v>
                </c:pt>
                <c:pt idx="2">
                  <c:v>7828573.3158743661</c:v>
                </c:pt>
              </c:numCache>
            </c:numRef>
          </c:val>
          <c:extLst>
            <c:ext xmlns:c16="http://schemas.microsoft.com/office/drawing/2014/chart" uri="{C3380CC4-5D6E-409C-BE32-E72D297353CC}">
              <c16:uniqueId val="{00000001-C099-46CB-A8F1-3BD6CE3FD2CA}"/>
            </c:ext>
          </c:extLst>
        </c:ser>
        <c:dLbls>
          <c:showLegendKey val="0"/>
          <c:showVal val="0"/>
          <c:showCatName val="0"/>
          <c:showSerName val="0"/>
          <c:showPercent val="0"/>
          <c:showBubbleSize val="0"/>
        </c:dLbls>
        <c:gapWidth val="219"/>
        <c:overlap val="-27"/>
        <c:axId val="1286633327"/>
        <c:axId val="1286630447"/>
      </c:barChart>
      <c:catAx>
        <c:axId val="12866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286630447"/>
        <c:crosses val="autoZero"/>
        <c:auto val="1"/>
        <c:lblAlgn val="ctr"/>
        <c:lblOffset val="100"/>
        <c:noMultiLvlLbl val="0"/>
      </c:catAx>
      <c:valAx>
        <c:axId val="1286630447"/>
        <c:scaling>
          <c:orientation val="minMax"/>
          <c:min val="2000000"/>
        </c:scaling>
        <c:delete val="1"/>
        <c:axPos val="l"/>
        <c:numFmt formatCode="&quot;$&quot;#,##0_);[Red]\(&quot;$&quot;#,##0\)" sourceLinked="1"/>
        <c:majorTickMark val="out"/>
        <c:minorTickMark val="none"/>
        <c:tickLblPos val="nextTo"/>
        <c:crossAx val="1286633327"/>
        <c:crosses val="autoZero"/>
        <c:crossBetween val="between"/>
      </c:valAx>
      <c:spPr>
        <a:noFill/>
        <a:ln>
          <a:noFill/>
        </a:ln>
        <a:effectLst/>
      </c:spPr>
    </c:plotArea>
    <c:legend>
      <c:legendPos val="l"/>
      <c:layout>
        <c:manualLayout>
          <c:xMode val="edge"/>
          <c:yMode val="edge"/>
          <c:x val="7.9536477691074838E-3"/>
          <c:y val="0.12981110513904423"/>
          <c:w val="5.5872496763546428E-2"/>
          <c:h val="0.2628732743551378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gradFill rotWithShape="1">
              <a:gsLst>
                <a:gs pos="0">
                  <a:schemeClr val="tx2">
                    <a:lumMod val="10000"/>
                    <a:lumOff val="90000"/>
                  </a:schemeClr>
                </a:gs>
                <a:gs pos="100000">
                  <a:schemeClr val="accent1">
                    <a:lumMod val="40000"/>
                    <a:lumOff val="60000"/>
                  </a:schemeClr>
                </a:gs>
              </a:gsLst>
              <a:lin ang="5400000" scaled="1"/>
            </a:gradFill>
            <a:ln w="31750" cap="flat" cmpd="sng" algn="ctr">
              <a:solidFill>
                <a:schemeClr val="accent1">
                  <a:lumMod val="60000"/>
                  <a:lumOff val="40000"/>
                </a:schemeClr>
              </a:solidFill>
              <a:round/>
            </a:ln>
            <a:effectLst/>
          </c:spPr>
          <c:cat>
            <c:numRef>
              <c:f>'Dashboard Style'!$AM$5:$AM$17</c:f>
              <c:numCache>
                <c:formatCode>mmm\-yy</c:formatCode>
                <c:ptCount val="13"/>
                <c:pt idx="0">
                  <c:v>43466</c:v>
                </c:pt>
                <c:pt idx="1">
                  <c:v>43617</c:v>
                </c:pt>
                <c:pt idx="2">
                  <c:v>43831</c:v>
                </c:pt>
                <c:pt idx="3">
                  <c:v>43831</c:v>
                </c:pt>
                <c:pt idx="4">
                  <c:v>44197</c:v>
                </c:pt>
                <c:pt idx="5">
                  <c:v>44348</c:v>
                </c:pt>
                <c:pt idx="6">
                  <c:v>44562</c:v>
                </c:pt>
                <c:pt idx="7">
                  <c:v>44713</c:v>
                </c:pt>
                <c:pt idx="8">
                  <c:v>44927</c:v>
                </c:pt>
                <c:pt idx="9">
                  <c:v>45078</c:v>
                </c:pt>
                <c:pt idx="10">
                  <c:v>45292</c:v>
                </c:pt>
                <c:pt idx="11">
                  <c:v>45444</c:v>
                </c:pt>
                <c:pt idx="12">
                  <c:v>45658</c:v>
                </c:pt>
              </c:numCache>
            </c:numRef>
          </c:cat>
          <c:val>
            <c:numRef>
              <c:f>'Dashboard Style'!$AN$5:$AN$17</c:f>
              <c:numCache>
                <c:formatCode>"$"#,##0_);[Red]\("$"#,##0\)</c:formatCode>
                <c:ptCount val="13"/>
                <c:pt idx="0">
                  <c:v>3150000</c:v>
                </c:pt>
                <c:pt idx="1">
                  <c:v>3465000.0000000005</c:v>
                </c:pt>
                <c:pt idx="2">
                  <c:v>3672900.0000000005</c:v>
                </c:pt>
                <c:pt idx="3">
                  <c:v>3783087.0000000005</c:v>
                </c:pt>
                <c:pt idx="4">
                  <c:v>3896579.6100000008</c:v>
                </c:pt>
                <c:pt idx="5">
                  <c:v>3701750.6295000007</c:v>
                </c:pt>
                <c:pt idx="6">
                  <c:v>3516663.0980250007</c:v>
                </c:pt>
                <c:pt idx="7">
                  <c:v>4044162.5627287505</c:v>
                </c:pt>
                <c:pt idx="8">
                  <c:v>4246370.6908651879</c:v>
                </c:pt>
                <c:pt idx="9">
                  <c:v>4331298.1046824921</c:v>
                </c:pt>
                <c:pt idx="10">
                  <c:v>4374611.0857293168</c:v>
                </c:pt>
                <c:pt idx="11">
                  <c:v>4593341.6400157828</c:v>
                </c:pt>
                <c:pt idx="12">
                  <c:v>4648383.97</c:v>
                </c:pt>
              </c:numCache>
            </c:numRef>
          </c:val>
          <c:extLst>
            <c:ext xmlns:c16="http://schemas.microsoft.com/office/drawing/2014/chart" uri="{C3380CC4-5D6E-409C-BE32-E72D297353CC}">
              <c16:uniqueId val="{00000000-6CB1-4A52-9FD8-C301F5776DF6}"/>
            </c:ext>
          </c:extLst>
        </c:ser>
        <c:dLbls>
          <c:showLegendKey val="0"/>
          <c:showVal val="0"/>
          <c:showCatName val="0"/>
          <c:showSerName val="0"/>
          <c:showPercent val="0"/>
          <c:showBubbleSize val="0"/>
        </c:dLbls>
        <c:axId val="1223823232"/>
        <c:axId val="1223821312"/>
      </c:areaChart>
      <c:dateAx>
        <c:axId val="1223823232"/>
        <c:scaling>
          <c:orientation val="minMax"/>
        </c:scaling>
        <c:delete val="0"/>
        <c:axPos val="b"/>
        <c:minorGridlines>
          <c:spPr>
            <a:ln>
              <a:noFill/>
            </a:ln>
            <a:effectLst/>
          </c:spPr>
        </c:minorGridlines>
        <c:numFmt formatCode="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50000"/>
                    <a:lumOff val="50000"/>
                  </a:schemeClr>
                </a:solidFill>
                <a:latin typeface="+mn-lt"/>
                <a:ea typeface="+mn-ea"/>
                <a:cs typeface="+mn-cs"/>
              </a:defRPr>
            </a:pPr>
            <a:endParaRPr lang="en-US"/>
          </a:p>
        </c:txPr>
        <c:crossAx val="1223821312"/>
        <c:crosses val="autoZero"/>
        <c:auto val="1"/>
        <c:lblOffset val="100"/>
        <c:baseTimeUnit val="days"/>
      </c:dateAx>
      <c:valAx>
        <c:axId val="1223821312"/>
        <c:scaling>
          <c:orientation val="minMax"/>
          <c:min val="2000000"/>
        </c:scaling>
        <c:delete val="1"/>
        <c:axPos val="l"/>
        <c:majorGridlines>
          <c:spPr>
            <a:ln w="9525" cap="flat" cmpd="sng" algn="ctr">
              <a:noFill/>
              <a:round/>
            </a:ln>
            <a:effectLst/>
          </c:spPr>
        </c:majorGridlines>
        <c:numFmt formatCode="&quot;$&quot;#,##0_);[Red]\(&quot;$&quot;#,##0\)" sourceLinked="1"/>
        <c:majorTickMark val="none"/>
        <c:minorTickMark val="none"/>
        <c:tickLblPos val="nextTo"/>
        <c:crossAx val="12238232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4.9339601076267794E-2"/>
          <c:y val="8.6330183442859976E-2"/>
          <c:w val="0.8934139415686414"/>
          <c:h val="0.68641915243048657"/>
        </c:manualLayout>
      </c:layout>
      <c:barChart>
        <c:barDir val="col"/>
        <c:grouping val="clustered"/>
        <c:varyColors val="0"/>
        <c:ser>
          <c:idx val="0"/>
          <c:order val="0"/>
          <c:spPr>
            <a:solidFill>
              <a:schemeClr val="accent1">
                <a:lumMod val="60000"/>
                <a:lumOff val="40000"/>
              </a:schemeClr>
            </a:solidFill>
            <a:ln>
              <a:noFill/>
            </a:ln>
            <a:effectLst/>
          </c:spPr>
          <c:invertIfNegative val="0"/>
          <c:cat>
            <c:numRef>
              <c:f>'Dashboard Style'!$AM$21:$AM$33</c:f>
              <c:numCache>
                <c:formatCode>mmm\-yy</c:formatCode>
                <c:ptCount val="13"/>
                <c:pt idx="0">
                  <c:v>45658</c:v>
                </c:pt>
                <c:pt idx="1">
                  <c:v>45689</c:v>
                </c:pt>
                <c:pt idx="3">
                  <c:v>45717</c:v>
                </c:pt>
                <c:pt idx="4">
                  <c:v>45748</c:v>
                </c:pt>
                <c:pt idx="5">
                  <c:v>45778</c:v>
                </c:pt>
                <c:pt idx="6">
                  <c:v>45809</c:v>
                </c:pt>
                <c:pt idx="7">
                  <c:v>45839</c:v>
                </c:pt>
                <c:pt idx="8">
                  <c:v>45870</c:v>
                </c:pt>
                <c:pt idx="9">
                  <c:v>45901</c:v>
                </c:pt>
                <c:pt idx="10">
                  <c:v>45931</c:v>
                </c:pt>
                <c:pt idx="11">
                  <c:v>45962</c:v>
                </c:pt>
                <c:pt idx="12">
                  <c:v>45992</c:v>
                </c:pt>
              </c:numCache>
            </c:numRef>
          </c:cat>
          <c:val>
            <c:numRef>
              <c:f>'Dashboard Style'!$AN$21:$AN$33</c:f>
              <c:numCache>
                <c:formatCode>"$"#,##0_);[Red]\("$"#,##0\)</c:formatCode>
                <c:ptCount val="13"/>
                <c:pt idx="0">
                  <c:v>-19347.299876359019</c:v>
                </c:pt>
                <c:pt idx="1">
                  <c:v>-1871.9828559612033</c:v>
                </c:pt>
                <c:pt idx="3">
                  <c:v>-1928.6550084098744</c:v>
                </c:pt>
                <c:pt idx="4">
                  <c:v>-46990.203481818593</c:v>
                </c:pt>
                <c:pt idx="5">
                  <c:v>-6000.7540868415126</c:v>
                </c:pt>
                <c:pt idx="6">
                  <c:v>-3029.2555612500473</c:v>
                </c:pt>
                <c:pt idx="7">
                  <c:v>-21574.130873810242</c:v>
                </c:pt>
                <c:pt idx="8">
                  <c:v>-17096.471499362167</c:v>
                </c:pt>
                <c:pt idx="9">
                  <c:v>-2101.3859026210921</c:v>
                </c:pt>
                <c:pt idx="10">
                  <c:v>-2110.9302989729113</c:v>
                </c:pt>
                <c:pt idx="11">
                  <c:v>-6121.8544707211367</c:v>
                </c:pt>
                <c:pt idx="12">
                  <c:v>192754.73328069784</c:v>
                </c:pt>
              </c:numCache>
            </c:numRef>
          </c:val>
          <c:extLst>
            <c:ext xmlns:c16="http://schemas.microsoft.com/office/drawing/2014/chart" uri="{C3380CC4-5D6E-409C-BE32-E72D297353CC}">
              <c16:uniqueId val="{00000004-17D3-4444-A5A0-8B7FB3E8ACEC}"/>
            </c:ext>
          </c:extLst>
        </c:ser>
        <c:dLbls>
          <c:showLegendKey val="0"/>
          <c:showVal val="0"/>
          <c:showCatName val="0"/>
          <c:showSerName val="0"/>
          <c:showPercent val="0"/>
          <c:showBubbleSize val="0"/>
        </c:dLbls>
        <c:gapWidth val="150"/>
        <c:overlap val="-90"/>
        <c:axId val="2076759488"/>
        <c:axId val="2013879696"/>
      </c:barChart>
      <c:dateAx>
        <c:axId val="2076759488"/>
        <c:scaling>
          <c:orientation val="minMax"/>
        </c:scaling>
        <c:delete val="0"/>
        <c:axPos val="b"/>
        <c:majorGridlines>
          <c:spPr>
            <a:ln w="9525" cap="flat" cmpd="sng" algn="ctr">
              <a:solidFill>
                <a:schemeClr val="tx1">
                  <a:lumMod val="15000"/>
                  <a:lumOff val="85000"/>
                </a:schemeClr>
              </a:solidFill>
              <a:round/>
            </a:ln>
            <a:effectLst/>
          </c:spPr>
        </c:majorGridlines>
        <c:numFmt formatCode="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cap="all" spc="120" normalizeH="0" baseline="0">
                <a:solidFill>
                  <a:schemeClr val="tx1">
                    <a:lumMod val="65000"/>
                    <a:lumOff val="35000"/>
                  </a:schemeClr>
                </a:solidFill>
                <a:latin typeface="+mn-lt"/>
                <a:ea typeface="+mn-ea"/>
                <a:cs typeface="+mn-cs"/>
              </a:defRPr>
            </a:pPr>
            <a:endParaRPr lang="en-US"/>
          </a:p>
        </c:txPr>
        <c:crossAx val="2013879696"/>
        <c:crosses val="autoZero"/>
        <c:auto val="1"/>
        <c:lblOffset val="100"/>
        <c:baseTimeUnit val="months"/>
        <c:majorUnit val="2"/>
        <c:majorTimeUnit val="months"/>
        <c:minorUnit val="3"/>
        <c:minorTimeUnit val="months"/>
      </c:dateAx>
      <c:valAx>
        <c:axId val="2013879696"/>
        <c:scaling>
          <c:orientation val="minMax"/>
          <c:max val="60000"/>
          <c:min val="-30000"/>
        </c:scaling>
        <c:delete val="1"/>
        <c:axPos val="l"/>
        <c:numFmt formatCode="&quot;$&quot;#,##0_);[Red]\(&quot;$&quot;#,##0\)" sourceLinked="1"/>
        <c:majorTickMark val="out"/>
        <c:minorTickMark val="none"/>
        <c:tickLblPos val="nextTo"/>
        <c:crossAx val="2076759488"/>
        <c:crossesAt val="45658"/>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3" l="0.3" r="0.3" t="0.3" header="0.3" footer="0.3"/>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4.9356602462401825E-2"/>
          <c:y val="1.3422369500092051E-2"/>
          <c:w val="0.8934139415686414"/>
          <c:h val="0.6204559265780577"/>
        </c:manualLayout>
      </c:layout>
      <c:areaChart>
        <c:grouping val="stacked"/>
        <c:varyColors val="0"/>
        <c:ser>
          <c:idx val="0"/>
          <c:order val="0"/>
          <c:spPr>
            <a:solidFill>
              <a:schemeClr val="accent1">
                <a:lumMod val="40000"/>
                <a:lumOff val="60000"/>
              </a:schemeClr>
            </a:solidFill>
            <a:ln>
              <a:noFill/>
            </a:ln>
            <a:effectLst/>
          </c:spPr>
          <c:cat>
            <c:numRef>
              <c:f>'Dashboard Style'!$AM$38:$AM$50</c:f>
              <c:numCache>
                <c:formatCode>mmm\-yy</c:formatCode>
                <c:ptCount val="13"/>
                <c:pt idx="0">
                  <c:v>45658</c:v>
                </c:pt>
                <c:pt idx="1">
                  <c:v>45689</c:v>
                </c:pt>
                <c:pt idx="3">
                  <c:v>45717</c:v>
                </c:pt>
                <c:pt idx="4">
                  <c:v>45748</c:v>
                </c:pt>
                <c:pt idx="5">
                  <c:v>45778</c:v>
                </c:pt>
                <c:pt idx="6">
                  <c:v>45809</c:v>
                </c:pt>
                <c:pt idx="7">
                  <c:v>45839</c:v>
                </c:pt>
                <c:pt idx="8">
                  <c:v>45870</c:v>
                </c:pt>
                <c:pt idx="9">
                  <c:v>45901</c:v>
                </c:pt>
                <c:pt idx="10">
                  <c:v>45931</c:v>
                </c:pt>
                <c:pt idx="11">
                  <c:v>45962</c:v>
                </c:pt>
                <c:pt idx="12">
                  <c:v>45992</c:v>
                </c:pt>
              </c:numCache>
            </c:numRef>
          </c:cat>
          <c:val>
            <c:numRef>
              <c:f>'Dashboard Style'!$AN$38:$AN$50</c:f>
              <c:numCache>
                <c:formatCode>"$"#,##0_);[Red]\("$"#,##0\)</c:formatCode>
                <c:ptCount val="13"/>
                <c:pt idx="0">
                  <c:v>-19347.299876359019</c:v>
                </c:pt>
                <c:pt idx="1">
                  <c:v>-21219.282732320222</c:v>
                </c:pt>
                <c:pt idx="3">
                  <c:v>-23147.937740730096</c:v>
                </c:pt>
                <c:pt idx="4">
                  <c:v>-70138.141222548686</c:v>
                </c:pt>
                <c:pt idx="5">
                  <c:v>-76138.895309390195</c:v>
                </c:pt>
                <c:pt idx="6">
                  <c:v>-79168.150870640238</c:v>
                </c:pt>
                <c:pt idx="7">
                  <c:v>-100742.28174445048</c:v>
                </c:pt>
                <c:pt idx="8">
                  <c:v>-117838.75324381265</c:v>
                </c:pt>
                <c:pt idx="9">
                  <c:v>-119940.13914643374</c:v>
                </c:pt>
                <c:pt idx="10">
                  <c:v>-122051.06944540664</c:v>
                </c:pt>
                <c:pt idx="11">
                  <c:v>-128172.92391612778</c:v>
                </c:pt>
                <c:pt idx="12">
                  <c:v>66338.315515958049</c:v>
                </c:pt>
              </c:numCache>
            </c:numRef>
          </c:val>
          <c:extLst>
            <c:ext xmlns:c16="http://schemas.microsoft.com/office/drawing/2014/chart" uri="{C3380CC4-5D6E-409C-BE32-E72D297353CC}">
              <c16:uniqueId val="{00000000-5C7D-4079-8585-2EB06DB980A3}"/>
            </c:ext>
          </c:extLst>
        </c:ser>
        <c:dLbls>
          <c:showLegendKey val="0"/>
          <c:showVal val="0"/>
          <c:showCatName val="0"/>
          <c:showSerName val="0"/>
          <c:showPercent val="0"/>
          <c:showBubbleSize val="0"/>
        </c:dLbls>
        <c:axId val="2076759488"/>
        <c:axId val="2013879696"/>
      </c:areaChart>
      <c:dateAx>
        <c:axId val="2076759488"/>
        <c:scaling>
          <c:orientation val="minMax"/>
        </c:scaling>
        <c:delete val="0"/>
        <c:axPos val="b"/>
        <c:majorGridlines>
          <c:spPr>
            <a:ln w="9525" cap="flat" cmpd="sng" algn="ctr">
              <a:solidFill>
                <a:schemeClr val="tx1">
                  <a:lumMod val="15000"/>
                  <a:lumOff val="85000"/>
                </a:schemeClr>
              </a:solidFill>
              <a:round/>
            </a:ln>
            <a:effectLst/>
          </c:spPr>
        </c:majorGridlines>
        <c:numFmt formatCode="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cap="all" spc="120" normalizeH="0" baseline="0">
                <a:solidFill>
                  <a:schemeClr val="tx1">
                    <a:lumMod val="65000"/>
                    <a:lumOff val="35000"/>
                  </a:schemeClr>
                </a:solidFill>
                <a:latin typeface="+mn-lt"/>
                <a:ea typeface="+mn-ea"/>
                <a:cs typeface="+mn-cs"/>
              </a:defRPr>
            </a:pPr>
            <a:endParaRPr lang="en-US"/>
          </a:p>
        </c:txPr>
        <c:crossAx val="2013879696"/>
        <c:crosses val="autoZero"/>
        <c:auto val="1"/>
        <c:lblOffset val="100"/>
        <c:baseTimeUnit val="months"/>
        <c:majorUnit val="2"/>
        <c:majorTimeUnit val="months"/>
        <c:minorUnit val="3"/>
        <c:minorTimeUnit val="months"/>
      </c:dateAx>
      <c:valAx>
        <c:axId val="2013879696"/>
        <c:scaling>
          <c:orientation val="minMax"/>
        </c:scaling>
        <c:delete val="1"/>
        <c:axPos val="l"/>
        <c:numFmt formatCode="&quot;$&quot;#,##0_);[Red]\(&quot;$&quot;#,##0\)" sourceLinked="1"/>
        <c:majorTickMark val="out"/>
        <c:minorTickMark val="none"/>
        <c:tickLblPos val="nextTo"/>
        <c:crossAx val="2076759488"/>
        <c:crossesAt val="45658"/>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3" l="0.3" r="0.3" t="0.3" header="0.3" footer="0.3"/>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879275055148812E-2"/>
          <c:y val="0.10387596421428286"/>
          <c:w val="0.58204519285768497"/>
          <c:h val="0.73554167695858952"/>
        </c:manualLayout>
      </c:layout>
      <c:doughnutChart>
        <c:varyColors val="1"/>
        <c:ser>
          <c:idx val="0"/>
          <c:order val="0"/>
          <c:spPr>
            <a:solidFill>
              <a:schemeClr val="accent4">
                <a:lumMod val="75000"/>
              </a:schemeClr>
            </a:solidFill>
          </c:spPr>
          <c:dPt>
            <c:idx val="0"/>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A90-4EA1-B8BB-6E6796F4F97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A90-4EA1-B8BB-6E6796F4F972}"/>
              </c:ext>
            </c:extLst>
          </c:dPt>
          <c:dPt>
            <c:idx val="2"/>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1A90-4EA1-B8BB-6E6796F4F972}"/>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605507299724521"/>
                      <c:h val="0.18734287838646052"/>
                    </c:manualLayout>
                  </c15:layout>
                </c:ext>
                <c:ext xmlns:c16="http://schemas.microsoft.com/office/drawing/2014/chart" uri="{C3380CC4-5D6E-409C-BE32-E72D297353CC}">
                  <c16:uniqueId val="{00000005-1A90-4EA1-B8BB-6E6796F4F972}"/>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2274862942580992"/>
                      <c:h val="0.20326662495564546"/>
                    </c:manualLayout>
                  </c15:layout>
                </c:ext>
                <c:ext xmlns:c16="http://schemas.microsoft.com/office/drawing/2014/chart" uri="{C3380CC4-5D6E-409C-BE32-E72D297353CC}">
                  <c16:uniqueId val="{00000003-1A90-4EA1-B8BB-6E6796F4F972}"/>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7315143015466614"/>
                      <c:h val="0.19530475167105296"/>
                    </c:manualLayout>
                  </c15:layout>
                </c:ext>
                <c:ext xmlns:c16="http://schemas.microsoft.com/office/drawing/2014/chart" uri="{C3380CC4-5D6E-409C-BE32-E72D297353CC}">
                  <c16:uniqueId val="{00000004-1A90-4EA1-B8BB-6E6796F4F972}"/>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Style'!$AM$53:$AM$55</c:f>
              <c:strCache>
                <c:ptCount val="3"/>
                <c:pt idx="0">
                  <c:v>Reserve</c:v>
                </c:pt>
                <c:pt idx="1">
                  <c:v>Flow</c:v>
                </c:pt>
                <c:pt idx="2">
                  <c:v>Build</c:v>
                </c:pt>
              </c:strCache>
            </c:strRef>
          </c:cat>
          <c:val>
            <c:numRef>
              <c:f>'Dashboard Style'!$AN$53:$AN$55</c:f>
              <c:numCache>
                <c:formatCode>"$"#,##0_);[Red]\("$"#,##0\)</c:formatCode>
                <c:ptCount val="3"/>
                <c:pt idx="0">
                  <c:v>20939.419999999991</c:v>
                </c:pt>
                <c:pt idx="1">
                  <c:v>129384.79396907208</c:v>
                </c:pt>
                <c:pt idx="2">
                  <c:v>194041.71121010487</c:v>
                </c:pt>
              </c:numCache>
            </c:numRef>
          </c:val>
          <c:extLst>
            <c:ext xmlns:c16="http://schemas.microsoft.com/office/drawing/2014/chart" uri="{C3380CC4-5D6E-409C-BE32-E72D297353CC}">
              <c16:uniqueId val="{00000000-1A90-4EA1-B8BB-6E6796F4F97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4032789601545026"/>
          <c:y val="0.19102414767206111"/>
          <c:w val="0.3280024296787552"/>
          <c:h val="0.4965093078094481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696583238266262E-2"/>
          <c:y val="6.590012000396453E-2"/>
          <c:w val="0.53380818022747156"/>
          <c:h val="0.83583442694663168"/>
        </c:manualLayout>
      </c:layout>
      <c:doughnutChart>
        <c:varyColors val="1"/>
        <c:ser>
          <c:idx val="1"/>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47AE-4ED0-93FC-55B96753BDE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CD-4E83-A3CB-A885DA5B1A6C}"/>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47AE-4ED0-93FC-55B96753BDE5}"/>
              </c:ext>
            </c:extLst>
          </c:dPt>
          <c:dPt>
            <c:idx val="3"/>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4-47AE-4ED0-93FC-55B96753BDE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0CD-4E83-A3CB-A885DA5B1A6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0CD-4E83-A3CB-A885DA5B1A6C}"/>
              </c:ext>
            </c:extLst>
          </c:dPt>
          <c:dPt>
            <c:idx val="6"/>
            <c:bubble3D val="0"/>
            <c:spPr>
              <a:solidFill>
                <a:srgbClr val="FFCC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47AE-4ED0-93FC-55B96753BDE5}"/>
              </c:ext>
            </c:extLst>
          </c:dPt>
          <c:dLbls>
            <c:dLbl>
              <c:idx val="0"/>
              <c:delete val="1"/>
              <c:extLst>
                <c:ext xmlns:c15="http://schemas.microsoft.com/office/drawing/2012/chart" uri="{CE6537A1-D6FC-4f65-9D91-7224C49458BB}"/>
                <c:ext xmlns:c16="http://schemas.microsoft.com/office/drawing/2014/chart" uri="{C3380CC4-5D6E-409C-BE32-E72D297353CC}">
                  <c16:uniqueId val="{00000025-47AE-4ED0-93FC-55B96753BDE5}"/>
                </c:ext>
              </c:extLst>
            </c:dLbl>
            <c:spPr>
              <a:noFill/>
              <a:ln>
                <a:noFill/>
              </a:ln>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Style'!$AM$60:$AM$66</c:f>
              <c:strCache>
                <c:ptCount val="7"/>
                <c:pt idx="0">
                  <c:v>Cash</c:v>
                </c:pt>
                <c:pt idx="1">
                  <c:v>International</c:v>
                </c:pt>
                <c:pt idx="2">
                  <c:v>US</c:v>
                </c:pt>
                <c:pt idx="3">
                  <c:v>Meta</c:v>
                </c:pt>
                <c:pt idx="4">
                  <c:v>Crypto</c:v>
                </c:pt>
                <c:pt idx="5">
                  <c:v>Bonds</c:v>
                </c:pt>
                <c:pt idx="6">
                  <c:v>REITS, Commodities</c:v>
                </c:pt>
              </c:strCache>
            </c:strRef>
          </c:cat>
          <c:val>
            <c:numRef>
              <c:f>'Dashboard Style'!$AO$60:$AO$66</c:f>
              <c:numCache>
                <c:formatCode>"$"#,##0_);[Red]\("$"#,##0\)</c:formatCode>
                <c:ptCount val="7"/>
                <c:pt idx="0">
                  <c:v>0</c:v>
                </c:pt>
                <c:pt idx="1">
                  <c:v>316538.30066575774</c:v>
                </c:pt>
                <c:pt idx="2">
                  <c:v>699999.99999999988</c:v>
                </c:pt>
                <c:pt idx="3">
                  <c:v>238311.4339918312</c:v>
                </c:pt>
                <c:pt idx="4">
                  <c:v>9500</c:v>
                </c:pt>
                <c:pt idx="5">
                  <c:v>301900</c:v>
                </c:pt>
                <c:pt idx="6">
                  <c:v>100000</c:v>
                </c:pt>
              </c:numCache>
            </c:numRef>
          </c:val>
          <c:extLst>
            <c:ext xmlns:c16="http://schemas.microsoft.com/office/drawing/2014/chart" uri="{C3380CC4-5D6E-409C-BE32-E72D297353CC}">
              <c16:uniqueId val="{00000020-47AE-4ED0-93FC-55B96753BDE5}"/>
            </c:ext>
          </c:extLst>
        </c:ser>
        <c:ser>
          <c:idx val="0"/>
          <c:order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47AE-4ED0-93FC-55B96753BDE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47AE-4ED0-93FC-55B96753BDE5}"/>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47AE-4ED0-93FC-55B96753BDE5}"/>
              </c:ext>
            </c:extLst>
          </c:dPt>
          <c:dPt>
            <c:idx val="3"/>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47AE-4ED0-93FC-55B96753BDE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47AE-4ED0-93FC-55B96753BDE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47AE-4ED0-93FC-55B96753BDE5}"/>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47AE-4ED0-93FC-55B96753BDE5}"/>
              </c:ext>
            </c:extLst>
          </c:dPt>
          <c:dLbls>
            <c:dLbl>
              <c:idx val="4"/>
              <c:delete val="1"/>
              <c:extLst>
                <c:ext xmlns:c15="http://schemas.microsoft.com/office/drawing/2012/chart" uri="{CE6537A1-D6FC-4f65-9D91-7224C49458BB}"/>
                <c:ext xmlns:c16="http://schemas.microsoft.com/office/drawing/2014/chart" uri="{C3380CC4-5D6E-409C-BE32-E72D297353CC}">
                  <c16:uniqueId val="{00000010-47AE-4ED0-93FC-55B96753BDE5}"/>
                </c:ext>
              </c:extLst>
            </c:dLbl>
            <c:dLbl>
              <c:idx val="6"/>
              <c:delete val="1"/>
              <c:extLst>
                <c:ext xmlns:c15="http://schemas.microsoft.com/office/drawing/2012/chart" uri="{CE6537A1-D6FC-4f65-9D91-7224C49458BB}"/>
                <c:ext xmlns:c16="http://schemas.microsoft.com/office/drawing/2014/chart" uri="{C3380CC4-5D6E-409C-BE32-E72D297353CC}">
                  <c16:uniqueId val="{00000014-47AE-4ED0-93FC-55B96753BDE5}"/>
                </c:ext>
              </c:extLst>
            </c:dLbl>
            <c:spPr>
              <a:noFill/>
              <a:ln>
                <a:noFill/>
              </a:ln>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Style'!$AM$60:$AM$66</c:f>
              <c:strCache>
                <c:ptCount val="7"/>
                <c:pt idx="0">
                  <c:v>Cash</c:v>
                </c:pt>
                <c:pt idx="1">
                  <c:v>International</c:v>
                </c:pt>
                <c:pt idx="2">
                  <c:v>US</c:v>
                </c:pt>
                <c:pt idx="3">
                  <c:v>Meta</c:v>
                </c:pt>
                <c:pt idx="4">
                  <c:v>Crypto</c:v>
                </c:pt>
                <c:pt idx="5">
                  <c:v>Bonds</c:v>
                </c:pt>
                <c:pt idx="6">
                  <c:v>REITS, Commodities</c:v>
                </c:pt>
              </c:strCache>
            </c:strRef>
          </c:cat>
          <c:val>
            <c:numRef>
              <c:f>'Dashboard Style'!$AN$60:$AN$66</c:f>
              <c:numCache>
                <c:formatCode>"$"#,##0_);[Red]\("$"#,##0\)</c:formatCode>
                <c:ptCount val="7"/>
                <c:pt idx="0">
                  <c:v>222965.43304876564</c:v>
                </c:pt>
                <c:pt idx="1">
                  <c:v>244684.55087427894</c:v>
                </c:pt>
                <c:pt idx="2">
                  <c:v>1732828.8065837068</c:v>
                </c:pt>
                <c:pt idx="3">
                  <c:v>238311.4339918312</c:v>
                </c:pt>
                <c:pt idx="4">
                  <c:v>9500</c:v>
                </c:pt>
                <c:pt idx="5">
                  <c:v>61209.775501417389</c:v>
                </c:pt>
                <c:pt idx="6">
                  <c:v>0</c:v>
                </c:pt>
              </c:numCache>
            </c:numRef>
          </c:val>
          <c:extLst>
            <c:ext xmlns:c16="http://schemas.microsoft.com/office/drawing/2014/chart" uri="{C3380CC4-5D6E-409C-BE32-E72D297353CC}">
              <c16:uniqueId val="{0000001F-47AE-4ED0-93FC-55B96753BD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0313449505125105"/>
          <c:y val="0.12718894624570057"/>
          <c:w val="0.18457140998803273"/>
          <c:h val="0.6877646755977120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Immediate</a:t>
            </a:r>
            <a:r>
              <a:rPr lang="en-US" baseline="0"/>
              <a:t> Accounts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'Money Movement'!$B$3</c:f>
              <c:strCache>
                <c:ptCount val="1"/>
                <c:pt idx="0">
                  <c:v>Status Quo</c:v>
                </c:pt>
              </c:strCache>
            </c:strRef>
          </c:tx>
          <c:spPr>
            <a:ln w="28575" cap="rnd">
              <a:solidFill>
                <a:schemeClr val="accent1"/>
              </a:solidFill>
              <a:round/>
            </a:ln>
            <a:effectLst/>
          </c:spPr>
          <c:marker>
            <c:symbol val="none"/>
          </c:marker>
          <c:dLbls>
            <c:dLbl>
              <c:idx val="0"/>
              <c:layout>
                <c:manualLayout>
                  <c:x val="-6.3146434403919427E-2"/>
                  <c:y val="5.449591280653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AC-43AA-B39A-7ED7B197FDAB}"/>
                </c:ext>
              </c:extLst>
            </c:dLbl>
            <c:dLbl>
              <c:idx val="11"/>
              <c:layout>
                <c:manualLayout>
                  <c:x val="0"/>
                  <c:y val="-5.44959128065395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AC-43AA-B39A-7ED7B197FD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Movement'!$E$3:$P$3</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00-2DAC-43AA-B39A-7ED7B197FDAB}"/>
            </c:ext>
          </c:extLst>
        </c:ser>
        <c:ser>
          <c:idx val="1"/>
          <c:order val="1"/>
          <c:tx>
            <c:strRef>
              <c:f>'Money Movement'!$B$4</c:f>
              <c:strCache>
                <c:ptCount val="1"/>
                <c:pt idx="0">
                  <c:v>GURU</c:v>
                </c:pt>
              </c:strCache>
            </c:strRef>
          </c:tx>
          <c:spPr>
            <a:ln w="28575" cap="rnd">
              <a:solidFill>
                <a:schemeClr val="accent2"/>
              </a:solidFill>
              <a:round/>
            </a:ln>
            <a:effectLst/>
          </c:spPr>
          <c:marker>
            <c:symbol val="none"/>
          </c:marker>
          <c:dLbls>
            <c:dLbl>
              <c:idx val="0"/>
              <c:layout>
                <c:manualLayout>
                  <c:x val="-4.3549265106151334E-2"/>
                  <c:y val="-6.539509536784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AC-43AA-B39A-7ED7B197FDAB}"/>
                </c:ext>
              </c:extLst>
            </c:dLbl>
            <c:dLbl>
              <c:idx val="11"/>
              <c:layout>
                <c:manualLayout>
                  <c:x val="-1.3064779531845559E-2"/>
                  <c:y val="-6.539509536784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AC-43AA-B39A-7ED7B197FD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Movement'!$E$4:$P$4</c:f>
              <c:numCache>
                <c:formatCode>"$"#,##0_);[Red]\("$"#,##0\)</c:formatCode>
                <c:ptCount val="12"/>
                <c:pt idx="0">
                  <c:v>20939.419999999991</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01-2DAC-43AA-B39A-7ED7B197FDAB}"/>
            </c:ext>
          </c:extLst>
        </c:ser>
        <c:dLbls>
          <c:showLegendKey val="0"/>
          <c:showVal val="0"/>
          <c:showCatName val="0"/>
          <c:showSerName val="0"/>
          <c:showPercent val="0"/>
          <c:showBubbleSize val="0"/>
        </c:dLbls>
        <c:smooth val="0"/>
        <c:axId val="132633728"/>
        <c:axId val="132634208"/>
      </c:lineChart>
      <c:catAx>
        <c:axId val="13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208"/>
        <c:crosses val="autoZero"/>
        <c:auto val="1"/>
        <c:lblAlgn val="ctr"/>
        <c:lblOffset val="100"/>
        <c:noMultiLvlLbl val="0"/>
      </c:catAx>
      <c:valAx>
        <c:axId val="132634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Medium-Term Accounts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'Money Movement'!$B$13</c:f>
              <c:strCache>
                <c:ptCount val="1"/>
                <c:pt idx="0">
                  <c:v>Status Quo</c:v>
                </c:pt>
              </c:strCache>
            </c:strRef>
          </c:tx>
          <c:spPr>
            <a:ln w="28575" cap="rnd">
              <a:solidFill>
                <a:schemeClr val="accent1"/>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Movement'!$E$13:$P$13</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0-01B8-4413-9519-348E2E297748}"/>
            </c:ext>
          </c:extLst>
        </c:ser>
        <c:ser>
          <c:idx val="1"/>
          <c:order val="1"/>
          <c:tx>
            <c:strRef>
              <c:f>'Money Movement'!$B$14</c:f>
              <c:strCache>
                <c:ptCount val="1"/>
                <c:pt idx="0">
                  <c:v>GURU</c:v>
                </c:pt>
              </c:strCache>
            </c:strRef>
          </c:tx>
          <c:spPr>
            <a:ln w="28575" cap="rnd">
              <a:solidFill>
                <a:schemeClr val="accent2"/>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Movement'!$E$14:$P$14</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1-01B8-4413-9519-348E2E297748}"/>
            </c:ext>
          </c:extLst>
        </c:ser>
        <c:dLbls>
          <c:showLegendKey val="0"/>
          <c:showVal val="0"/>
          <c:showCatName val="0"/>
          <c:showSerName val="0"/>
          <c:showPercent val="0"/>
          <c:showBubbleSize val="0"/>
        </c:dLbls>
        <c:smooth val="0"/>
        <c:axId val="132633728"/>
        <c:axId val="132634208"/>
      </c:lineChart>
      <c:catAx>
        <c:axId val="13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208"/>
        <c:crosses val="autoZero"/>
        <c:auto val="1"/>
        <c:lblAlgn val="ctr"/>
        <c:lblOffset val="100"/>
        <c:noMultiLvlLbl val="0"/>
      </c:catAx>
      <c:valAx>
        <c:axId val="132634208"/>
        <c:scaling>
          <c:orientation val="minMax"/>
          <c:max val="350000"/>
          <c:min val="150000"/>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Short-Term Accounts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'Money Movement'!$B$8</c:f>
              <c:strCache>
                <c:ptCount val="1"/>
                <c:pt idx="0">
                  <c:v>Status Quo</c:v>
                </c:pt>
              </c:strCache>
            </c:strRef>
          </c:tx>
          <c:spPr>
            <a:ln w="28575" cap="rnd">
              <a:solidFill>
                <a:schemeClr val="accent1"/>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Movement'!$E$8:$P$8</c:f>
              <c:numCache>
                <c:formatCode>"$"#,##0_);[Red]\("$"#,##0\)</c:formatCode>
                <c:ptCount val="12"/>
                <c:pt idx="0">
                  <c:v>220374.10963917524</c:v>
                </c:pt>
                <c:pt idx="1">
                  <c:v>218620.67921631158</c:v>
                </c:pt>
                <c:pt idx="2">
                  <c:v>216850.27825059669</c:v>
                </c:pt>
                <c:pt idx="3">
                  <c:v>170077.01689783303</c:v>
                </c:pt>
                <c:pt idx="4">
                  <c:v>164264.53791938722</c:v>
                </c:pt>
                <c:pt idx="5">
                  <c:v>161409.54660869442</c:v>
                </c:pt>
                <c:pt idx="6">
                  <c:v>140047.51906102506</c:v>
                </c:pt>
                <c:pt idx="7">
                  <c:v>123165.92245109769</c:v>
                </c:pt>
                <c:pt idx="8">
                  <c:v>121253.41545860383</c:v>
                </c:pt>
                <c:pt idx="9">
                  <c:v>119325.70094328896</c:v>
                </c:pt>
                <c:pt idx="10">
                  <c:v>113394.87187384866</c:v>
                </c:pt>
                <c:pt idx="11">
                  <c:v>253553.98822185921</c:v>
                </c:pt>
              </c:numCache>
            </c:numRef>
          </c:val>
          <c:smooth val="0"/>
          <c:extLst>
            <c:ext xmlns:c16="http://schemas.microsoft.com/office/drawing/2014/chart" uri="{C3380CC4-5D6E-409C-BE32-E72D297353CC}">
              <c16:uniqueId val="{00000000-9964-4CF9-B9DE-87385C7E7729}"/>
            </c:ext>
          </c:extLst>
        </c:ser>
        <c:ser>
          <c:idx val="1"/>
          <c:order val="1"/>
          <c:tx>
            <c:strRef>
              <c:f>'Money Movement'!$B$9</c:f>
              <c:strCache>
                <c:ptCount val="1"/>
                <c:pt idx="0">
                  <c:v>GURU</c:v>
                </c:pt>
              </c:strCache>
            </c:strRef>
          </c:tx>
          <c:spPr>
            <a:ln w="28575" cap="rnd">
              <a:solidFill>
                <a:schemeClr val="accent2"/>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Movement'!$E$9:$P$9</c:f>
              <c:numCache>
                <c:formatCode>"$"#,##0_);[Red]\("$"#,##0\)</c:formatCode>
                <c:ptCount val="12"/>
                <c:pt idx="0">
                  <c:v>109758.90360824735</c:v>
                </c:pt>
                <c:pt idx="1">
                  <c:v>107911.60373188833</c:v>
                </c:pt>
                <c:pt idx="2">
                  <c:v>61039.620875927125</c:v>
                </c:pt>
                <c:pt idx="3">
                  <c:v>55110.965867517254</c:v>
                </c:pt>
                <c:pt idx="4">
                  <c:v>52120.762385698668</c:v>
                </c:pt>
                <c:pt idx="5">
                  <c:v>30620.008298857145</c:v>
                </c:pt>
                <c:pt idx="6">
                  <c:v>13590.752737607094</c:v>
                </c:pt>
                <c:pt idx="7">
                  <c:v>11516.621863796852</c:v>
                </c:pt>
                <c:pt idx="8">
                  <c:v>9420.1503644346867</c:v>
                </c:pt>
                <c:pt idx="9">
                  <c:v>3318.7644618135928</c:v>
                </c:pt>
                <c:pt idx="10">
                  <c:v>0</c:v>
                </c:pt>
                <c:pt idx="11">
                  <c:v>129388.67625717539</c:v>
                </c:pt>
              </c:numCache>
            </c:numRef>
          </c:val>
          <c:smooth val="0"/>
          <c:extLst>
            <c:ext xmlns:c16="http://schemas.microsoft.com/office/drawing/2014/chart" uri="{C3380CC4-5D6E-409C-BE32-E72D297353CC}">
              <c16:uniqueId val="{00000001-9964-4CF9-B9DE-87385C7E7729}"/>
            </c:ext>
          </c:extLst>
        </c:ser>
        <c:dLbls>
          <c:showLegendKey val="0"/>
          <c:showVal val="0"/>
          <c:showCatName val="0"/>
          <c:showSerName val="0"/>
          <c:showPercent val="0"/>
          <c:showBubbleSize val="0"/>
        </c:dLbls>
        <c:smooth val="0"/>
        <c:axId val="132633728"/>
        <c:axId val="132634208"/>
      </c:lineChart>
      <c:catAx>
        <c:axId val="13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208"/>
        <c:crosses val="autoZero"/>
        <c:auto val="1"/>
        <c:lblAlgn val="ctr"/>
        <c:lblOffset val="100"/>
        <c:noMultiLvlLbl val="0"/>
      </c:catAx>
      <c:valAx>
        <c:axId val="132634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Medium-Term Accounts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'Money Movement'!$B$13</c:f>
              <c:strCache>
                <c:ptCount val="1"/>
                <c:pt idx="0">
                  <c:v>Status Quo</c:v>
                </c:pt>
              </c:strCache>
            </c:strRef>
          </c:tx>
          <c:spPr>
            <a:ln w="28575" cap="rnd">
              <a:solidFill>
                <a:schemeClr val="accent1"/>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Movement'!$E$13:$P$13</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0-109B-438B-A915-43A529A64030}"/>
            </c:ext>
          </c:extLst>
        </c:ser>
        <c:ser>
          <c:idx val="1"/>
          <c:order val="1"/>
          <c:tx>
            <c:strRef>
              <c:f>'Money Movement'!$B$14</c:f>
              <c:strCache>
                <c:ptCount val="1"/>
                <c:pt idx="0">
                  <c:v>GURU</c:v>
                </c:pt>
              </c:strCache>
            </c:strRef>
          </c:tx>
          <c:spPr>
            <a:ln w="28575" cap="rnd">
              <a:solidFill>
                <a:schemeClr val="accent2"/>
              </a:solidFill>
              <a:round/>
            </a:ln>
            <a:effectLst/>
          </c:spPr>
          <c:marker>
            <c:symbol val="none"/>
          </c:marker>
          <c:cat>
            <c:strRef>
              <c:f>'Money Movement'!$E$2:$P$2</c:f>
              <c:strCache>
                <c:ptCount val="12"/>
                <c:pt idx="0">
                  <c:v>January</c:v>
                </c:pt>
                <c:pt idx="1">
                  <c:v>February</c:v>
                </c:pt>
                <c:pt idx="2">
                  <c:v>March</c:v>
                </c:pt>
                <c:pt idx="3">
                  <c:v>April</c:v>
                </c:pt>
                <c:pt idx="4">
                  <c:v>May </c:v>
                </c:pt>
                <c:pt idx="5">
                  <c:v>June</c:v>
                </c:pt>
                <c:pt idx="6">
                  <c:v>July</c:v>
                </c:pt>
                <c:pt idx="7">
                  <c:v>August </c:v>
                </c:pt>
                <c:pt idx="8">
                  <c:v>September</c:v>
                </c:pt>
                <c:pt idx="9">
                  <c:v>October</c:v>
                </c:pt>
                <c:pt idx="10">
                  <c:v>November</c:v>
                </c:pt>
                <c:pt idx="11">
                  <c:v>December</c:v>
                </c:pt>
              </c:strCache>
            </c:strRef>
          </c:cat>
          <c:val>
            <c:numRef>
              <c:f>'Money Movement'!$E$14:$P$14</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1-109B-438B-A915-43A529A64030}"/>
            </c:ext>
          </c:extLst>
        </c:ser>
        <c:dLbls>
          <c:showLegendKey val="0"/>
          <c:showVal val="0"/>
          <c:showCatName val="0"/>
          <c:showSerName val="0"/>
          <c:showPercent val="0"/>
          <c:showBubbleSize val="0"/>
        </c:dLbls>
        <c:smooth val="0"/>
        <c:axId val="132633728"/>
        <c:axId val="132634208"/>
      </c:lineChart>
      <c:catAx>
        <c:axId val="1326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4208"/>
        <c:crosses val="autoZero"/>
        <c:auto val="1"/>
        <c:lblAlgn val="ctr"/>
        <c:lblOffset val="100"/>
        <c:noMultiLvlLbl val="0"/>
      </c:catAx>
      <c:valAx>
        <c:axId val="132634208"/>
        <c:scaling>
          <c:orientation val="minMax"/>
          <c:max val="350000"/>
          <c:min val="150000"/>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222620808355295E-2"/>
          <c:y val="5.1695128236039507E-2"/>
          <c:w val="0.93701078685396"/>
          <c:h val="0.68053111721190851"/>
        </c:manualLayout>
      </c:layout>
      <c:barChart>
        <c:barDir val="col"/>
        <c:grouping val="stacked"/>
        <c:varyColors val="0"/>
        <c:ser>
          <c:idx val="0"/>
          <c:order val="0"/>
          <c:spPr>
            <a:solidFill>
              <a:schemeClr val="accent1"/>
            </a:solidFill>
            <a:ln>
              <a:noFill/>
            </a:ln>
            <a:effectLst/>
          </c:spPr>
          <c:invertIfNegative val="0"/>
          <c:dPt>
            <c:idx val="1"/>
            <c:invertIfNegative val="0"/>
            <c:bubble3D val="0"/>
            <c:spPr>
              <a:noFill/>
              <a:ln>
                <a:noFill/>
              </a:ln>
              <a:effectLst/>
            </c:spPr>
            <c:extLst>
              <c:ext xmlns:c16="http://schemas.microsoft.com/office/drawing/2014/chart" uri="{C3380CC4-5D6E-409C-BE32-E72D297353CC}">
                <c16:uniqueId val="{00000002-85AF-4154-92A2-431D372B0DFA}"/>
              </c:ext>
            </c:extLst>
          </c:dPt>
          <c:dPt>
            <c:idx val="2"/>
            <c:invertIfNegative val="0"/>
            <c:bubble3D val="0"/>
            <c:spPr>
              <a:noFill/>
              <a:ln>
                <a:noFill/>
              </a:ln>
              <a:effectLst/>
            </c:spPr>
            <c:extLst>
              <c:ext xmlns:c16="http://schemas.microsoft.com/office/drawing/2014/chart" uri="{C3380CC4-5D6E-409C-BE32-E72D297353CC}">
                <c16:uniqueId val="{00000003-85AF-4154-92A2-431D372B0DFA}"/>
              </c:ext>
            </c:extLst>
          </c:dPt>
          <c:dPt>
            <c:idx val="3"/>
            <c:invertIfNegative val="0"/>
            <c:bubble3D val="0"/>
            <c:spPr>
              <a:noFill/>
              <a:ln>
                <a:noFill/>
              </a:ln>
              <a:effectLst/>
            </c:spPr>
            <c:extLst>
              <c:ext xmlns:c16="http://schemas.microsoft.com/office/drawing/2014/chart" uri="{C3380CC4-5D6E-409C-BE32-E72D297353CC}">
                <c16:uniqueId val="{00000006-85AF-4154-92A2-431D372B0DFA}"/>
              </c:ext>
            </c:extLst>
          </c:dPt>
          <c:dPt>
            <c:idx val="5"/>
            <c:invertIfNegative val="0"/>
            <c:bubble3D val="0"/>
            <c:spPr>
              <a:noFill/>
              <a:ln>
                <a:noFill/>
              </a:ln>
              <a:effectLst/>
            </c:spPr>
            <c:extLst>
              <c:ext xmlns:c16="http://schemas.microsoft.com/office/drawing/2014/chart" uri="{C3380CC4-5D6E-409C-BE32-E72D297353CC}">
                <c16:uniqueId val="{00000009-85AF-4154-92A2-431D372B0DFA}"/>
              </c:ext>
            </c:extLst>
          </c:dPt>
          <c:dPt>
            <c:idx val="6"/>
            <c:invertIfNegative val="0"/>
            <c:bubble3D val="0"/>
            <c:spPr>
              <a:noFill/>
              <a:ln>
                <a:noFill/>
              </a:ln>
              <a:effectLst/>
            </c:spPr>
            <c:extLst>
              <c:ext xmlns:c16="http://schemas.microsoft.com/office/drawing/2014/chart" uri="{C3380CC4-5D6E-409C-BE32-E72D297353CC}">
                <c16:uniqueId val="{0000000A-85AF-4154-92A2-431D372B0DFA}"/>
              </c:ext>
            </c:extLst>
          </c:dPt>
          <c:dPt>
            <c:idx val="7"/>
            <c:invertIfNegative val="0"/>
            <c:bubble3D val="0"/>
            <c:spPr>
              <a:noFill/>
              <a:ln>
                <a:noFill/>
              </a:ln>
              <a:effectLst/>
            </c:spPr>
            <c:extLst>
              <c:ext xmlns:c16="http://schemas.microsoft.com/office/drawing/2014/chart" uri="{C3380CC4-5D6E-409C-BE32-E72D297353CC}">
                <c16:uniqueId val="{0000000B-85AF-4154-92A2-431D372B0DFA}"/>
              </c:ext>
            </c:extLst>
          </c:dPt>
          <c:dPt>
            <c:idx val="9"/>
            <c:invertIfNegative val="0"/>
            <c:bubble3D val="0"/>
            <c:spPr>
              <a:noFill/>
              <a:ln>
                <a:noFill/>
              </a:ln>
              <a:effectLst/>
            </c:spPr>
            <c:extLst>
              <c:ext xmlns:c16="http://schemas.microsoft.com/office/drawing/2014/chart" uri="{C3380CC4-5D6E-409C-BE32-E72D297353CC}">
                <c16:uniqueId val="{0000000C-85AF-4154-92A2-431D372B0DFA}"/>
              </c:ext>
            </c:extLst>
          </c:dPt>
          <c:dPt>
            <c:idx val="10"/>
            <c:invertIfNegative val="0"/>
            <c:bubble3D val="0"/>
            <c:spPr>
              <a:noFill/>
              <a:ln>
                <a:noFill/>
              </a:ln>
              <a:effectLst/>
            </c:spPr>
            <c:extLst>
              <c:ext xmlns:c16="http://schemas.microsoft.com/office/drawing/2014/chart" uri="{C3380CC4-5D6E-409C-BE32-E72D297353CC}">
                <c16:uniqueId val="{0000000D-85AF-4154-92A2-431D372B0DFA}"/>
              </c:ext>
            </c:extLst>
          </c:dPt>
          <c:dPt>
            <c:idx val="11"/>
            <c:invertIfNegative val="0"/>
            <c:bubble3D val="0"/>
            <c:spPr>
              <a:noFill/>
              <a:ln>
                <a:noFill/>
              </a:ln>
              <a:effectLst/>
            </c:spPr>
            <c:extLst>
              <c:ext xmlns:c16="http://schemas.microsoft.com/office/drawing/2014/chart" uri="{C3380CC4-5D6E-409C-BE32-E72D297353CC}">
                <c16:uniqueId val="{0000000E-85AF-4154-92A2-431D372B0DFA}"/>
              </c:ext>
            </c:extLst>
          </c:dPt>
          <c:dPt>
            <c:idx val="13"/>
            <c:invertIfNegative val="0"/>
            <c:bubble3D val="0"/>
            <c:spPr>
              <a:noFill/>
              <a:ln>
                <a:noFill/>
              </a:ln>
              <a:effectLst/>
            </c:spPr>
            <c:extLst>
              <c:ext xmlns:c16="http://schemas.microsoft.com/office/drawing/2014/chart" uri="{C3380CC4-5D6E-409C-BE32-E72D297353CC}">
                <c16:uniqueId val="{0000000F-85AF-4154-92A2-431D372B0DFA}"/>
              </c:ext>
            </c:extLst>
          </c:dPt>
          <c:dPt>
            <c:idx val="14"/>
            <c:invertIfNegative val="0"/>
            <c:bubble3D val="0"/>
            <c:spPr>
              <a:noFill/>
              <a:ln>
                <a:noFill/>
              </a:ln>
              <a:effectLst/>
            </c:spPr>
            <c:extLst>
              <c:ext xmlns:c16="http://schemas.microsoft.com/office/drawing/2014/chart" uri="{C3380CC4-5D6E-409C-BE32-E72D297353CC}">
                <c16:uniqueId val="{00000010-85AF-4154-92A2-431D372B0DFA}"/>
              </c:ext>
            </c:extLst>
          </c:dPt>
          <c:dPt>
            <c:idx val="15"/>
            <c:invertIfNegative val="0"/>
            <c:bubble3D val="0"/>
            <c:spPr>
              <a:noFill/>
              <a:ln>
                <a:noFill/>
              </a:ln>
              <a:effectLst/>
            </c:spPr>
            <c:extLst>
              <c:ext xmlns:c16="http://schemas.microsoft.com/office/drawing/2014/chart" uri="{C3380CC4-5D6E-409C-BE32-E72D297353CC}">
                <c16:uniqueId val="{00000011-85AF-4154-92A2-431D372B0DFA}"/>
              </c:ext>
            </c:extLst>
          </c:dPt>
          <c:dLbls>
            <c:dLbl>
              <c:idx val="0"/>
              <c:layout>
                <c:manualLayout>
                  <c:x val="1.0199992948351333E-3"/>
                  <c:y val="-0.20770402671127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AF-4154-92A2-431D372B0DFA}"/>
                </c:ext>
              </c:extLst>
            </c:dLbl>
            <c:dLbl>
              <c:idx val="4"/>
              <c:layout>
                <c:manualLayout>
                  <c:x val="5.6445315307880638E-4"/>
                  <c:y val="-0.19858465448406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AF-4154-92A2-431D372B0DFA}"/>
                </c:ext>
              </c:extLst>
            </c:dLbl>
            <c:dLbl>
              <c:idx val="8"/>
              <c:layout>
                <c:manualLayout>
                  <c:x val="0"/>
                  <c:y val="-0.13158776026604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5AF-4154-92A2-431D372B0DFA}"/>
                </c:ext>
              </c:extLst>
            </c:dLbl>
            <c:dLbl>
              <c:idx val="12"/>
              <c:layout>
                <c:manualLayout>
                  <c:x val="-1.0199675201996289E-3"/>
                  <c:y val="-8.95910243280991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5AF-4154-92A2-431D372B0DFA}"/>
                </c:ext>
              </c:extLst>
            </c:dLbl>
            <c:dLbl>
              <c:idx val="16"/>
              <c:layout>
                <c:manualLayout>
                  <c:x val="-3.1663949734964214E-3"/>
                  <c:y val="-0.250534477301351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5AF-4154-92A2-431D372B0D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'Cash Flow Walk'!$B$15:$R$15</c:f>
              <c:strCache>
                <c:ptCount val="17"/>
                <c:pt idx="0">
                  <c:v>Beginning</c:v>
                </c:pt>
                <c:pt idx="1">
                  <c:v>Income</c:v>
                </c:pt>
                <c:pt idx="2">
                  <c:v>Core Expenses</c:v>
                </c:pt>
                <c:pt idx="3">
                  <c:v>One-Time Expenses</c:v>
                </c:pt>
                <c:pt idx="4">
                  <c:v>3/31/2025</c:v>
                </c:pt>
                <c:pt idx="5">
                  <c:v>Income</c:v>
                </c:pt>
                <c:pt idx="6">
                  <c:v>Core Expenses</c:v>
                </c:pt>
                <c:pt idx="7">
                  <c:v>One-Time Expenses</c:v>
                </c:pt>
                <c:pt idx="8">
                  <c:v>6/30/2025</c:v>
                </c:pt>
                <c:pt idx="9">
                  <c:v>Income</c:v>
                </c:pt>
                <c:pt idx="10">
                  <c:v>Core Expenses</c:v>
                </c:pt>
                <c:pt idx="11">
                  <c:v>One-Time Expenses</c:v>
                </c:pt>
                <c:pt idx="12">
                  <c:v>9/30/2025</c:v>
                </c:pt>
                <c:pt idx="13">
                  <c:v>Income</c:v>
                </c:pt>
                <c:pt idx="14">
                  <c:v>Core Expenses</c:v>
                </c:pt>
                <c:pt idx="15">
                  <c:v>One-Time Expenses</c:v>
                </c:pt>
                <c:pt idx="16">
                  <c:v>12/31/2025</c:v>
                </c:pt>
              </c:strCache>
            </c:strRef>
          </c:cat>
          <c:val>
            <c:numRef>
              <c:f>'Cash Flow Walk'!$B$16:$R$16</c:f>
              <c:numCache>
                <c:formatCode>"$"#,##0_);[Red]\("$"#,##0\)</c:formatCode>
                <c:ptCount val="17"/>
                <c:pt idx="0" formatCode="&quot;$&quot;#,##0_);\(&quot;$&quot;#,##0\)">
                  <c:v>193661.04840657217</c:v>
                </c:pt>
                <c:pt idx="1">
                  <c:v>193661.04840657217</c:v>
                </c:pt>
                <c:pt idx="2" formatCode="&quot;$&quot;#,##0_);\(&quot;$&quot;#,##0\)">
                  <c:v>188013.11066584208</c:v>
                </c:pt>
                <c:pt idx="3" formatCode="&quot;$&quot;#,##0_);\(&quot;$&quot;#,##0\)">
                  <c:v>170513.11066584208</c:v>
                </c:pt>
                <c:pt idx="4" formatCode="&quot;$&quot;#,##0_);\(&quot;$&quot;#,##0\)">
                  <c:v>170513.11066584208</c:v>
                </c:pt>
                <c:pt idx="5">
                  <c:v>170513.11066584208</c:v>
                </c:pt>
                <c:pt idx="6" formatCode="&quot;$&quot;#,##0_);\(&quot;$&quot;#,##0\)">
                  <c:v>159492.89753593193</c:v>
                </c:pt>
                <c:pt idx="7" formatCode="&quot;$&quot;#,##0_);\(&quot;$&quot;#,##0\)">
                  <c:v>114492.89753593193</c:v>
                </c:pt>
                <c:pt idx="8" formatCode="&quot;$&quot;#,##0_);\(&quot;$&quot;#,##0\)">
                  <c:v>114492.89753593193</c:v>
                </c:pt>
                <c:pt idx="9">
                  <c:v>114492.89753593193</c:v>
                </c:pt>
                <c:pt idx="10" formatCode="&quot;$&quot;#,##0_);\(&quot;$&quot;#,##0\)">
                  <c:v>106220.90926013843</c:v>
                </c:pt>
                <c:pt idx="11" formatCode="&quot;$&quot;#,##0_);\(&quot;$&quot;#,##0\)">
                  <c:v>73720.909260138433</c:v>
                </c:pt>
                <c:pt idx="12" formatCode="&quot;$&quot;#,##0_);\(&quot;$&quot;#,##0\)">
                  <c:v>73720.909260138433</c:v>
                </c:pt>
                <c:pt idx="13">
                  <c:v>73720.909260138433</c:v>
                </c:pt>
                <c:pt idx="14" formatCode="&quot;$&quot;#,##0_);\(&quot;$&quot;#,##0\)">
                  <c:v>279695.96392253018</c:v>
                </c:pt>
                <c:pt idx="15" formatCode="&quot;$&quot;#,##0_);\(&quot;$&quot;#,##0\)">
                  <c:v>259999.36392253017</c:v>
                </c:pt>
                <c:pt idx="16" formatCode="&quot;$&quot;#,##0_);\(&quot;$&quot;#,##0\)">
                  <c:v>259999.36392253017</c:v>
                </c:pt>
              </c:numCache>
            </c:numRef>
          </c:val>
          <c:extLst>
            <c:ext xmlns:c16="http://schemas.microsoft.com/office/drawing/2014/chart" uri="{C3380CC4-5D6E-409C-BE32-E72D297353CC}">
              <c16:uniqueId val="{00000000-85AF-4154-92A2-431D372B0DFA}"/>
            </c:ext>
          </c:extLst>
        </c:ser>
        <c:ser>
          <c:idx val="1"/>
          <c:order val="1"/>
          <c:spPr>
            <a:solidFill>
              <a:schemeClr val="accent2"/>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85AF-4154-92A2-431D372B0DFA}"/>
              </c:ext>
            </c:extLst>
          </c:dPt>
          <c:dPt>
            <c:idx val="2"/>
            <c:invertIfNegative val="0"/>
            <c:bubble3D val="0"/>
            <c:spPr>
              <a:solidFill>
                <a:srgbClr val="C00000"/>
              </a:solidFill>
              <a:ln>
                <a:noFill/>
              </a:ln>
              <a:effectLst/>
            </c:spPr>
            <c:extLst>
              <c:ext xmlns:c16="http://schemas.microsoft.com/office/drawing/2014/chart" uri="{C3380CC4-5D6E-409C-BE32-E72D297353CC}">
                <c16:uniqueId val="{00000004-85AF-4154-92A2-431D372B0DFA}"/>
              </c:ext>
            </c:extLst>
          </c:dPt>
          <c:dPt>
            <c:idx val="3"/>
            <c:invertIfNegative val="0"/>
            <c:bubble3D val="0"/>
            <c:spPr>
              <a:solidFill>
                <a:srgbClr val="C00000"/>
              </a:solidFill>
              <a:ln>
                <a:noFill/>
              </a:ln>
              <a:effectLst/>
            </c:spPr>
            <c:extLst>
              <c:ext xmlns:c16="http://schemas.microsoft.com/office/drawing/2014/chart" uri="{C3380CC4-5D6E-409C-BE32-E72D297353CC}">
                <c16:uniqueId val="{00000015-85AF-4154-92A2-431D372B0DFA}"/>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1C-85AF-4154-92A2-431D372B0DFA}"/>
              </c:ext>
            </c:extLst>
          </c:dPt>
          <c:dPt>
            <c:idx val="6"/>
            <c:invertIfNegative val="0"/>
            <c:bubble3D val="0"/>
            <c:spPr>
              <a:solidFill>
                <a:srgbClr val="C00000"/>
              </a:solidFill>
              <a:ln>
                <a:noFill/>
              </a:ln>
              <a:effectLst/>
            </c:spPr>
            <c:extLst>
              <c:ext xmlns:c16="http://schemas.microsoft.com/office/drawing/2014/chart" uri="{C3380CC4-5D6E-409C-BE32-E72D297353CC}">
                <c16:uniqueId val="{00000017-85AF-4154-92A2-431D372B0DFA}"/>
              </c:ext>
            </c:extLst>
          </c:dPt>
          <c:dPt>
            <c:idx val="7"/>
            <c:invertIfNegative val="0"/>
            <c:bubble3D val="0"/>
            <c:spPr>
              <a:solidFill>
                <a:srgbClr val="C00000"/>
              </a:solidFill>
              <a:ln>
                <a:noFill/>
              </a:ln>
              <a:effectLst/>
            </c:spPr>
            <c:extLst>
              <c:ext xmlns:c16="http://schemas.microsoft.com/office/drawing/2014/chart" uri="{C3380CC4-5D6E-409C-BE32-E72D297353CC}">
                <c16:uniqueId val="{00000016-85AF-4154-92A2-431D372B0DFA}"/>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1D-85AF-4154-92A2-431D372B0DFA}"/>
              </c:ext>
            </c:extLst>
          </c:dPt>
          <c:dPt>
            <c:idx val="10"/>
            <c:invertIfNegative val="0"/>
            <c:bubble3D val="0"/>
            <c:spPr>
              <a:solidFill>
                <a:srgbClr val="C00000"/>
              </a:solidFill>
              <a:ln>
                <a:noFill/>
              </a:ln>
              <a:effectLst/>
            </c:spPr>
            <c:extLst>
              <c:ext xmlns:c16="http://schemas.microsoft.com/office/drawing/2014/chart" uri="{C3380CC4-5D6E-409C-BE32-E72D297353CC}">
                <c16:uniqueId val="{00000018-85AF-4154-92A2-431D372B0DFA}"/>
              </c:ext>
            </c:extLst>
          </c:dPt>
          <c:dPt>
            <c:idx val="11"/>
            <c:invertIfNegative val="0"/>
            <c:bubble3D val="0"/>
            <c:spPr>
              <a:solidFill>
                <a:srgbClr val="C00000"/>
              </a:solidFill>
              <a:ln>
                <a:noFill/>
              </a:ln>
              <a:effectLst/>
            </c:spPr>
            <c:extLst>
              <c:ext xmlns:c16="http://schemas.microsoft.com/office/drawing/2014/chart" uri="{C3380CC4-5D6E-409C-BE32-E72D297353CC}">
                <c16:uniqueId val="{00000019-85AF-4154-92A2-431D372B0DFA}"/>
              </c:ext>
            </c:extLst>
          </c:dPt>
          <c:dPt>
            <c:idx val="13"/>
            <c:invertIfNegative val="0"/>
            <c:bubble3D val="0"/>
            <c:spPr>
              <a:solidFill>
                <a:schemeClr val="accent6">
                  <a:lumMod val="75000"/>
                </a:schemeClr>
              </a:solidFill>
              <a:ln>
                <a:noFill/>
              </a:ln>
              <a:effectLst/>
            </c:spPr>
            <c:extLst>
              <c:ext xmlns:c16="http://schemas.microsoft.com/office/drawing/2014/chart" uri="{C3380CC4-5D6E-409C-BE32-E72D297353CC}">
                <c16:uniqueId val="{0000001E-85AF-4154-92A2-431D372B0DFA}"/>
              </c:ext>
            </c:extLst>
          </c:dPt>
          <c:dPt>
            <c:idx val="14"/>
            <c:invertIfNegative val="0"/>
            <c:bubble3D val="0"/>
            <c:spPr>
              <a:solidFill>
                <a:srgbClr val="C00000"/>
              </a:solidFill>
              <a:ln>
                <a:noFill/>
              </a:ln>
              <a:effectLst/>
            </c:spPr>
            <c:extLst>
              <c:ext xmlns:c16="http://schemas.microsoft.com/office/drawing/2014/chart" uri="{C3380CC4-5D6E-409C-BE32-E72D297353CC}">
                <c16:uniqueId val="{0000001B-85AF-4154-92A2-431D372B0DFA}"/>
              </c:ext>
            </c:extLst>
          </c:dPt>
          <c:dPt>
            <c:idx val="15"/>
            <c:invertIfNegative val="0"/>
            <c:bubble3D val="0"/>
            <c:spPr>
              <a:solidFill>
                <a:srgbClr val="C00000"/>
              </a:solidFill>
              <a:ln>
                <a:noFill/>
              </a:ln>
              <a:effectLst/>
            </c:spPr>
            <c:extLst>
              <c:ext xmlns:c16="http://schemas.microsoft.com/office/drawing/2014/chart" uri="{C3380CC4-5D6E-409C-BE32-E72D297353CC}">
                <c16:uniqueId val="{0000001A-85AF-4154-92A2-431D372B0DFA}"/>
              </c:ext>
            </c:extLst>
          </c:dPt>
          <c:cat>
            <c:strRef>
              <c:f>'Cash Flow Walk'!$B$15:$R$15</c:f>
              <c:strCache>
                <c:ptCount val="17"/>
                <c:pt idx="0">
                  <c:v>Beginning</c:v>
                </c:pt>
                <c:pt idx="1">
                  <c:v>Income</c:v>
                </c:pt>
                <c:pt idx="2">
                  <c:v>Core Expenses</c:v>
                </c:pt>
                <c:pt idx="3">
                  <c:v>One-Time Expenses</c:v>
                </c:pt>
                <c:pt idx="4">
                  <c:v>3/31/2025</c:v>
                </c:pt>
                <c:pt idx="5">
                  <c:v>Income</c:v>
                </c:pt>
                <c:pt idx="6">
                  <c:v>Core Expenses</c:v>
                </c:pt>
                <c:pt idx="7">
                  <c:v>One-Time Expenses</c:v>
                </c:pt>
                <c:pt idx="8">
                  <c:v>6/30/2025</c:v>
                </c:pt>
                <c:pt idx="9">
                  <c:v>Income</c:v>
                </c:pt>
                <c:pt idx="10">
                  <c:v>Core Expenses</c:v>
                </c:pt>
                <c:pt idx="11">
                  <c:v>One-Time Expenses</c:v>
                </c:pt>
                <c:pt idx="12">
                  <c:v>9/30/2025</c:v>
                </c:pt>
                <c:pt idx="13">
                  <c:v>Income</c:v>
                </c:pt>
                <c:pt idx="14">
                  <c:v>Core Expenses</c:v>
                </c:pt>
                <c:pt idx="15">
                  <c:v>One-Time Expenses</c:v>
                </c:pt>
                <c:pt idx="16">
                  <c:v>12/31/2025</c:v>
                </c:pt>
              </c:strCache>
            </c:strRef>
          </c:cat>
          <c:val>
            <c:numRef>
              <c:f>'Cash Flow Walk'!$B$17:$R$17</c:f>
              <c:numCache>
                <c:formatCode>"$"#,##0_);[Red]\("$"#,##0\)</c:formatCode>
                <c:ptCount val="17"/>
                <c:pt idx="1">
                  <c:v>57170.322259269888</c:v>
                </c:pt>
                <c:pt idx="2" formatCode="&quot;$&quot;#,##0_);\(&quot;$&quot;#,##0\)">
                  <c:v>62818.25999999998</c:v>
                </c:pt>
                <c:pt idx="3" formatCode="&quot;$&quot;#,##0_);\(&quot;$&quot;#,##0\)">
                  <c:v>17500</c:v>
                </c:pt>
                <c:pt idx="5">
                  <c:v>56798.04687008982</c:v>
                </c:pt>
                <c:pt idx="6" formatCode="&quot;$&quot;#,##0_);\(&quot;$&quot;#,##0\)">
                  <c:v>67818.25999999998</c:v>
                </c:pt>
                <c:pt idx="7" formatCode="&quot;$&quot;#,##0_);\(&quot;$&quot;#,##0\)">
                  <c:v>45000</c:v>
                </c:pt>
                <c:pt idx="9">
                  <c:v>56546.271724206483</c:v>
                </c:pt>
                <c:pt idx="10" formatCode="&quot;$&quot;#,##0_);\(&quot;$&quot;#,##0\)">
                  <c:v>64818.25999999998</c:v>
                </c:pt>
                <c:pt idx="11" formatCode="&quot;$&quot;#,##0_);\(&quot;$&quot;#,##0\)">
                  <c:v>32500</c:v>
                </c:pt>
                <c:pt idx="13">
                  <c:v>279157.9442118443</c:v>
                </c:pt>
                <c:pt idx="14" formatCode="&quot;$&quot;#,##0_);\(&quot;$&quot;#,##0\)">
                  <c:v>74574.619999999966</c:v>
                </c:pt>
                <c:pt idx="15" formatCode="&quot;$&quot;#,##0_);\(&quot;$&quot;#,##0\)">
                  <c:v>19696.599999999999</c:v>
                </c:pt>
              </c:numCache>
            </c:numRef>
          </c:val>
          <c:extLst>
            <c:ext xmlns:c16="http://schemas.microsoft.com/office/drawing/2014/chart" uri="{C3380CC4-5D6E-409C-BE32-E72D297353CC}">
              <c16:uniqueId val="{00000001-85AF-4154-92A2-431D372B0DFA}"/>
            </c:ext>
          </c:extLst>
        </c:ser>
        <c:dLbls>
          <c:showLegendKey val="0"/>
          <c:showVal val="0"/>
          <c:showCatName val="0"/>
          <c:showSerName val="0"/>
          <c:showPercent val="0"/>
          <c:showBubbleSize val="0"/>
        </c:dLbls>
        <c:gapWidth val="150"/>
        <c:overlap val="100"/>
        <c:axId val="1385197392"/>
        <c:axId val="1385198352"/>
      </c:barChart>
      <c:catAx>
        <c:axId val="138519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385198352"/>
        <c:crosses val="autoZero"/>
        <c:auto val="1"/>
        <c:lblAlgn val="ctr"/>
        <c:lblOffset val="100"/>
        <c:noMultiLvlLbl val="0"/>
      </c:catAx>
      <c:valAx>
        <c:axId val="138519835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crossAx val="138519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74699125871149E-2"/>
          <c:y val="5.9064965048419162E-2"/>
          <c:w val="0.96723618303192893"/>
          <c:h val="0.76865260052587703"/>
        </c:manualLayout>
      </c:layout>
      <c:barChart>
        <c:barDir val="col"/>
        <c:grouping val="stacked"/>
        <c:varyColors val="0"/>
        <c:ser>
          <c:idx val="0"/>
          <c:order val="0"/>
          <c:spPr>
            <a:solidFill>
              <a:schemeClr val="accent1"/>
            </a:solidFill>
            <a:ln>
              <a:noFill/>
            </a:ln>
            <a:effectLst/>
          </c:spPr>
          <c:invertIfNegative val="0"/>
          <c:dPt>
            <c:idx val="1"/>
            <c:invertIfNegative val="0"/>
            <c:bubble3D val="0"/>
            <c:spPr>
              <a:solidFill>
                <a:srgbClr val="000000">
                  <a:alpha val="0"/>
                </a:srgbClr>
              </a:solidFill>
              <a:ln>
                <a:noFill/>
              </a:ln>
              <a:effectLst/>
            </c:spPr>
            <c:extLst>
              <c:ext xmlns:c16="http://schemas.microsoft.com/office/drawing/2014/chart" uri="{C3380CC4-5D6E-409C-BE32-E72D297353CC}">
                <c16:uniqueId val="{00000001-80DF-4CF7-9357-5C64D3832E10}"/>
              </c:ext>
            </c:extLst>
          </c:dPt>
          <c:dPt>
            <c:idx val="2"/>
            <c:invertIfNegative val="0"/>
            <c:bubble3D val="0"/>
            <c:spPr>
              <a:solidFill>
                <a:srgbClr val="000000">
                  <a:alpha val="0"/>
                </a:srgbClr>
              </a:solidFill>
              <a:ln>
                <a:noFill/>
              </a:ln>
              <a:effectLst/>
            </c:spPr>
            <c:extLst>
              <c:ext xmlns:c16="http://schemas.microsoft.com/office/drawing/2014/chart" uri="{C3380CC4-5D6E-409C-BE32-E72D297353CC}">
                <c16:uniqueId val="{00000003-80DF-4CF7-9357-5C64D3832E10}"/>
              </c:ext>
            </c:extLst>
          </c:dPt>
          <c:dPt>
            <c:idx val="3"/>
            <c:invertIfNegative val="0"/>
            <c:bubble3D val="0"/>
            <c:spPr>
              <a:solidFill>
                <a:srgbClr val="000000">
                  <a:alpha val="0"/>
                </a:srgbClr>
              </a:solidFill>
              <a:ln>
                <a:noFill/>
              </a:ln>
              <a:effectLst/>
            </c:spPr>
            <c:extLst>
              <c:ext xmlns:c16="http://schemas.microsoft.com/office/drawing/2014/chart" uri="{C3380CC4-5D6E-409C-BE32-E72D297353CC}">
                <c16:uniqueId val="{00000005-80DF-4CF7-9357-5C64D3832E10}"/>
              </c:ext>
            </c:extLst>
          </c:dPt>
          <c:dLbls>
            <c:dLbl>
              <c:idx val="0"/>
              <c:layout>
                <c:manualLayout>
                  <c:x val="-5.5496089559048953E-3"/>
                  <c:y val="-0.143589761456809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0DF-4CF7-9357-5C64D3832E10}"/>
                </c:ext>
              </c:extLst>
            </c:dLbl>
            <c:dLbl>
              <c:idx val="4"/>
              <c:layout>
                <c:manualLayout>
                  <c:x val="0"/>
                  <c:y val="-0.179377743711239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0DF-4CF7-9357-5C64D3832E1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Walk'!$T$15:$X$15</c:f>
              <c:strCache>
                <c:ptCount val="5"/>
                <c:pt idx="0">
                  <c:v>Beginning
1/1/25</c:v>
                </c:pt>
                <c:pt idx="1">
                  <c:v>Annual Income</c:v>
                </c:pt>
                <c:pt idx="2">
                  <c:v>Core Expenses</c:v>
                </c:pt>
                <c:pt idx="3">
                  <c:v>One-Time Expenses</c:v>
                </c:pt>
                <c:pt idx="4">
                  <c:v>Ending Cash
12/31/2025</c:v>
                </c:pt>
              </c:strCache>
            </c:strRef>
          </c:cat>
          <c:val>
            <c:numRef>
              <c:f>'Cash Flow Walk'!$T$16:$X$16</c:f>
              <c:numCache>
                <c:formatCode>"$"#,##0_);[Red]\("$"#,##0\)</c:formatCode>
                <c:ptCount val="5"/>
                <c:pt idx="0" formatCode="&quot;$&quot;#,##0&quot;K&quot;_);\(&quot;$&quot;#,##0\)">
                  <c:v>193.66104840657218</c:v>
                </c:pt>
                <c:pt idx="1">
                  <c:v>193.66104840657218</c:v>
                </c:pt>
                <c:pt idx="2" formatCode="&quot;$&quot;#,##0_);\(&quot;$&quot;#,##0\)">
                  <c:v>374.69596392253027</c:v>
                </c:pt>
                <c:pt idx="3" formatCode="&quot;$&quot;#,##0_);\(&quot;$&quot;#,##0\)">
                  <c:v>259.99936392253028</c:v>
                </c:pt>
                <c:pt idx="4" formatCode="&quot;$&quot;#,##0&quot;K&quot;_);\(&quot;$&quot;#,##0\)">
                  <c:v>259.99936392253028</c:v>
                </c:pt>
              </c:numCache>
            </c:numRef>
          </c:val>
          <c:extLst>
            <c:ext xmlns:c16="http://schemas.microsoft.com/office/drawing/2014/chart" uri="{C3380CC4-5D6E-409C-BE32-E72D297353CC}">
              <c16:uniqueId val="{0000001D-80DF-4CF7-9357-5C64D3832E10}"/>
            </c:ext>
          </c:extLst>
        </c:ser>
        <c:ser>
          <c:idx val="1"/>
          <c:order val="1"/>
          <c:spPr>
            <a:solidFill>
              <a:schemeClr val="accent2"/>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1F-80DF-4CF7-9357-5C64D3832E10}"/>
              </c:ext>
            </c:extLst>
          </c:dPt>
          <c:dPt>
            <c:idx val="2"/>
            <c:invertIfNegative val="0"/>
            <c:bubble3D val="0"/>
            <c:spPr>
              <a:solidFill>
                <a:srgbClr val="C00000"/>
              </a:solidFill>
              <a:ln>
                <a:solidFill>
                  <a:srgbClr val="C00000"/>
                </a:solidFill>
              </a:ln>
              <a:effectLst/>
            </c:spPr>
            <c:extLst>
              <c:ext xmlns:c16="http://schemas.microsoft.com/office/drawing/2014/chart" uri="{C3380CC4-5D6E-409C-BE32-E72D297353CC}">
                <c16:uniqueId val="{00000021-80DF-4CF7-9357-5C64D3832E10}"/>
              </c:ext>
            </c:extLst>
          </c:dPt>
          <c:dPt>
            <c:idx val="3"/>
            <c:invertIfNegative val="0"/>
            <c:bubble3D val="0"/>
            <c:spPr>
              <a:solidFill>
                <a:srgbClr val="C00000"/>
              </a:solidFill>
              <a:ln>
                <a:noFill/>
              </a:ln>
              <a:effectLst/>
            </c:spPr>
            <c:extLst>
              <c:ext xmlns:c16="http://schemas.microsoft.com/office/drawing/2014/chart" uri="{C3380CC4-5D6E-409C-BE32-E72D297353CC}">
                <c16:uniqueId val="{00000023-80DF-4CF7-9357-5C64D3832E10}"/>
              </c:ext>
            </c:extLst>
          </c:dPt>
          <c:cat>
            <c:strRef>
              <c:f>'Cash Flow Walk'!$T$15:$X$15</c:f>
              <c:strCache>
                <c:ptCount val="5"/>
                <c:pt idx="0">
                  <c:v>Beginning
1/1/25</c:v>
                </c:pt>
                <c:pt idx="1">
                  <c:v>Annual Income</c:v>
                </c:pt>
                <c:pt idx="2">
                  <c:v>Core Expenses</c:v>
                </c:pt>
                <c:pt idx="3">
                  <c:v>One-Time Expenses</c:v>
                </c:pt>
                <c:pt idx="4">
                  <c:v>Ending Cash
12/31/2025</c:v>
                </c:pt>
              </c:strCache>
            </c:strRef>
          </c:cat>
          <c:val>
            <c:numRef>
              <c:f>'Cash Flow Walk'!$T$17:$X$17</c:f>
              <c:numCache>
                <c:formatCode>"$"#,##0_);[Red]\("$"#,##0\)</c:formatCode>
                <c:ptCount val="5"/>
                <c:pt idx="1">
                  <c:v>451.06431551595801</c:v>
                </c:pt>
                <c:pt idx="2">
                  <c:v>270.0293999999999</c:v>
                </c:pt>
                <c:pt idx="3">
                  <c:v>114.6966</c:v>
                </c:pt>
              </c:numCache>
            </c:numRef>
          </c:val>
          <c:extLst>
            <c:ext xmlns:c16="http://schemas.microsoft.com/office/drawing/2014/chart" uri="{C3380CC4-5D6E-409C-BE32-E72D297353CC}">
              <c16:uniqueId val="{00000036-80DF-4CF7-9357-5C64D3832E10}"/>
            </c:ext>
          </c:extLst>
        </c:ser>
        <c:dLbls>
          <c:showLegendKey val="0"/>
          <c:showVal val="0"/>
          <c:showCatName val="0"/>
          <c:showSerName val="0"/>
          <c:showPercent val="0"/>
          <c:showBubbleSize val="0"/>
        </c:dLbls>
        <c:gapWidth val="150"/>
        <c:overlap val="100"/>
        <c:axId val="1385197392"/>
        <c:axId val="1385198352"/>
      </c:barChart>
      <c:catAx>
        <c:axId val="1385197392"/>
        <c:scaling>
          <c:orientation val="minMax"/>
        </c:scaling>
        <c:delete val="0"/>
        <c:axPos val="b"/>
        <c:numFmt formatCode="General" sourceLinked="1"/>
        <c:majorTickMark val="none"/>
        <c:minorTickMark val="none"/>
        <c:tickLblPos val="nextTo"/>
        <c:spPr>
          <a:noFill/>
          <a:ln w="9525" cap="flat" cmpd="sng" algn="ctr">
            <a:solidFill>
              <a:schemeClr val="bg2">
                <a:lumMod val="50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385198352"/>
        <c:crosses val="autoZero"/>
        <c:auto val="1"/>
        <c:lblAlgn val="ctr"/>
        <c:lblOffset val="100"/>
        <c:noMultiLvlLbl val="0"/>
      </c:catAx>
      <c:valAx>
        <c:axId val="138519835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quot;K&quot;_);\(&quot;$&quot;#,##0\)" sourceLinked="1"/>
        <c:majorTickMark val="none"/>
        <c:minorTickMark val="none"/>
        <c:tickLblPos val="nextTo"/>
        <c:crossAx val="138519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396782419542427E-2"/>
          <c:y val="0.10555853439332977"/>
          <c:w val="0.96730846128360715"/>
          <c:h val="0.6790368197076626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8-21D6-4889-9F3A-A16407C7E88B}"/>
              </c:ext>
            </c:extLst>
          </c:dPt>
          <c:dPt>
            <c:idx val="1"/>
            <c:invertIfNegative val="0"/>
            <c:bubble3D val="0"/>
            <c:spPr>
              <a:solidFill>
                <a:srgbClr val="C00000"/>
              </a:solidFill>
              <a:ln>
                <a:noFill/>
              </a:ln>
              <a:effectLst/>
            </c:spPr>
            <c:extLst>
              <c:ext xmlns:c16="http://schemas.microsoft.com/office/drawing/2014/chart" uri="{C3380CC4-5D6E-409C-BE32-E72D297353CC}">
                <c16:uniqueId val="{00000007-21D6-4889-9F3A-A16407C7E88B}"/>
              </c:ext>
            </c:extLst>
          </c:dPt>
          <c:dPt>
            <c:idx val="2"/>
            <c:invertIfNegative val="0"/>
            <c:bubble3D val="0"/>
            <c:spPr>
              <a:solidFill>
                <a:srgbClr val="C00000"/>
              </a:solidFill>
              <a:ln>
                <a:noFill/>
              </a:ln>
              <a:effectLst/>
            </c:spPr>
            <c:extLst>
              <c:ext xmlns:c16="http://schemas.microsoft.com/office/drawing/2014/chart" uri="{C3380CC4-5D6E-409C-BE32-E72D297353CC}">
                <c16:uniqueId val="{00000006-21D6-4889-9F3A-A16407C7E88B}"/>
              </c:ext>
            </c:extLst>
          </c:dPt>
          <c:dPt>
            <c:idx val="3"/>
            <c:invertIfNegative val="0"/>
            <c:bubble3D val="0"/>
            <c:spPr>
              <a:solidFill>
                <a:srgbClr val="C00000"/>
              </a:solidFill>
              <a:ln>
                <a:noFill/>
              </a:ln>
              <a:effectLst/>
            </c:spPr>
            <c:extLst>
              <c:ext xmlns:c16="http://schemas.microsoft.com/office/drawing/2014/chart" uri="{C3380CC4-5D6E-409C-BE32-E72D297353CC}">
                <c16:uniqueId val="{00000004-21D6-4889-9F3A-A16407C7E88B}"/>
              </c:ext>
            </c:extLst>
          </c:dPt>
          <c:dPt>
            <c:idx val="4"/>
            <c:invertIfNegative val="0"/>
            <c:bubble3D val="0"/>
            <c:spPr>
              <a:solidFill>
                <a:srgbClr val="FFC000"/>
              </a:solidFill>
              <a:ln>
                <a:noFill/>
              </a:ln>
              <a:effectLst/>
            </c:spPr>
            <c:extLst>
              <c:ext xmlns:c16="http://schemas.microsoft.com/office/drawing/2014/chart" uri="{C3380CC4-5D6E-409C-BE32-E72D297353CC}">
                <c16:uniqueId val="{00000005-21D6-4889-9F3A-A16407C7E88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815C-4295-B9C4-B6B62006CE02}"/>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A-299C-4BD1-BEBE-F6FA95916743}"/>
              </c:ext>
            </c:extLst>
          </c:dPt>
          <c:dLbls>
            <c:dLbl>
              <c:idx val="7"/>
              <c:delete val="1"/>
              <c:extLst>
                <c:ext xmlns:c15="http://schemas.microsoft.com/office/drawing/2012/chart" uri="{CE6537A1-D6FC-4f65-9D91-7224C49458BB}"/>
                <c:ext xmlns:c16="http://schemas.microsoft.com/office/drawing/2014/chart" uri="{C3380CC4-5D6E-409C-BE32-E72D297353CC}">
                  <c16:uniqueId val="{0000000E-43AA-4FCE-877B-F5266AA45D8A}"/>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ptos Bdy"/>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Charts!$V$6:$V$13</c:f>
              <c:strCache>
                <c:ptCount val="8"/>
                <c:pt idx="0">
                  <c:v>Retirement Assets</c:v>
                </c:pt>
                <c:pt idx="1">
                  <c:v>Private Equity Carry</c:v>
                </c:pt>
                <c:pt idx="2">
                  <c:v>Stock Compensation</c:v>
                </c:pt>
                <c:pt idx="3">
                  <c:v>Alternative Asset Investments</c:v>
                </c:pt>
                <c:pt idx="4">
                  <c:v>Real Estate</c:v>
                </c:pt>
                <c:pt idx="5">
                  <c:v>Liquid Investments</c:v>
                </c:pt>
                <c:pt idx="6">
                  <c:v>Cash</c:v>
                </c:pt>
                <c:pt idx="7">
                  <c:v>Total</c:v>
                </c:pt>
              </c:strCache>
            </c:strRef>
          </c:cat>
          <c:val>
            <c:numRef>
              <c:f>Charts!$Z$6:$Z$13</c:f>
              <c:numCache>
                <c:formatCode>"$"#,##0_);[Red]\("$"#,##0\)</c:formatCode>
                <c:ptCount val="8"/>
                <c:pt idx="0">
                  <c:v>1000000</c:v>
                </c:pt>
                <c:pt idx="1">
                  <c:v>835000</c:v>
                </c:pt>
                <c:pt idx="2">
                  <c:v>80000</c:v>
                </c:pt>
                <c:pt idx="3">
                  <c:v>250000</c:v>
                </c:pt>
                <c:pt idx="4">
                  <c:v>1815000</c:v>
                </c:pt>
                <c:pt idx="5">
                  <c:v>1644500</c:v>
                </c:pt>
                <c:pt idx="6">
                  <c:v>372050</c:v>
                </c:pt>
                <c:pt idx="7">
                  <c:v>5996550</c:v>
                </c:pt>
              </c:numCache>
            </c:numRef>
          </c:val>
          <c:extLst>
            <c:ext xmlns:c16="http://schemas.microsoft.com/office/drawing/2014/chart" uri="{C3380CC4-5D6E-409C-BE32-E72D297353CC}">
              <c16:uniqueId val="{00000000-21D6-4889-9F3A-A16407C7E88B}"/>
            </c:ext>
          </c:extLst>
        </c:ser>
        <c:dLbls>
          <c:showLegendKey val="0"/>
          <c:showVal val="0"/>
          <c:showCatName val="0"/>
          <c:showSerName val="0"/>
          <c:showPercent val="0"/>
          <c:showBubbleSize val="0"/>
        </c:dLbls>
        <c:gapWidth val="219"/>
        <c:axId val="1162665680"/>
        <c:axId val="1162672880"/>
      </c:barChart>
      <c:catAx>
        <c:axId val="116266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Bdy"/>
                <a:ea typeface="Calibri" panose="020F0502020204030204" pitchFamily="34" charset="0"/>
                <a:cs typeface="Calibri" panose="020F0502020204030204" pitchFamily="34" charset="0"/>
              </a:defRPr>
            </a:pPr>
            <a:endParaRPr lang="en-US"/>
          </a:p>
        </c:txPr>
        <c:crossAx val="1162672880"/>
        <c:crosses val="autoZero"/>
        <c:auto val="1"/>
        <c:lblAlgn val="ctr"/>
        <c:lblOffset val="100"/>
        <c:noMultiLvlLbl val="0"/>
      </c:catAx>
      <c:valAx>
        <c:axId val="1162672880"/>
        <c:scaling>
          <c:orientation val="minMax"/>
          <c:max val="7500000"/>
        </c:scaling>
        <c:delete val="1"/>
        <c:axPos val="l"/>
        <c:numFmt formatCode="&quot;$&quot;#,##0_);[Red]\(&quot;$&quot;#,##0\)" sourceLinked="1"/>
        <c:majorTickMark val="out"/>
        <c:minorTickMark val="none"/>
        <c:tickLblPos val="nextTo"/>
        <c:crossAx val="116266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Bdy"/>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74335956811957E-2"/>
          <c:y val="8.2820879113739948E-2"/>
          <c:w val="0.90802028140724145"/>
          <c:h val="0.77742808613067482"/>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5-6C7C-4DA4-8E89-AAE6272F6226}"/>
              </c:ext>
            </c:extLst>
          </c:dPt>
          <c:dPt>
            <c:idx val="2"/>
            <c:invertIfNegative val="0"/>
            <c:bubble3D val="0"/>
            <c:spPr>
              <a:solidFill>
                <a:srgbClr val="C00000"/>
              </a:solidFill>
              <a:ln>
                <a:noFill/>
              </a:ln>
              <a:effectLst/>
            </c:spPr>
            <c:extLst>
              <c:ext xmlns:c16="http://schemas.microsoft.com/office/drawing/2014/chart" uri="{C3380CC4-5D6E-409C-BE32-E72D297353CC}">
                <c16:uniqueId val="{00000004-352F-4245-BBC3-0D325DE82D12}"/>
              </c:ext>
            </c:extLst>
          </c:dPt>
          <c:dPt>
            <c:idx val="3"/>
            <c:invertIfNegative val="0"/>
            <c:bubble3D val="0"/>
            <c:spPr>
              <a:solidFill>
                <a:srgbClr val="C00000"/>
              </a:solidFill>
              <a:ln>
                <a:noFill/>
              </a:ln>
              <a:effectLst/>
            </c:spPr>
            <c:extLst>
              <c:ext xmlns:c16="http://schemas.microsoft.com/office/drawing/2014/chart" uri="{C3380CC4-5D6E-409C-BE32-E72D297353CC}">
                <c16:uniqueId val="{00000004-6C7C-4DA4-8E89-AAE6272F6226}"/>
              </c:ext>
            </c:extLst>
          </c:dPt>
          <c:dPt>
            <c:idx val="4"/>
            <c:invertIfNegative val="0"/>
            <c:bubble3D val="0"/>
            <c:spPr>
              <a:solidFill>
                <a:srgbClr val="C00000"/>
              </a:solidFill>
              <a:ln>
                <a:noFill/>
              </a:ln>
              <a:effectLst/>
            </c:spPr>
            <c:extLst>
              <c:ext xmlns:c16="http://schemas.microsoft.com/office/drawing/2014/chart" uri="{C3380CC4-5D6E-409C-BE32-E72D297353CC}">
                <c16:uniqueId val="{00000006-A1CB-481A-B070-24103C6FB1FA}"/>
              </c:ext>
            </c:extLst>
          </c:dPt>
          <c:dLbls>
            <c:dLbl>
              <c:idx val="5"/>
              <c:layout>
                <c:manualLayout>
                  <c:x val="-9.3681964492798693E-17"/>
                  <c:y val="-1.3836748879713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1D-46BE-9A8E-F91E0F4EA693}"/>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ptos Body"/>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Charts!$AE$7:$AE$12</c:f>
              <c:strCache>
                <c:ptCount val="6"/>
                <c:pt idx="0">
                  <c:v>Credit Cards / Line of Credits</c:v>
                </c:pt>
                <c:pt idx="1">
                  <c:v>Student Debt</c:v>
                </c:pt>
                <c:pt idx="2">
                  <c:v>Mortgages</c:v>
                </c:pt>
                <c:pt idx="3">
                  <c:v>Professional / PE Loans</c:v>
                </c:pt>
                <c:pt idx="4">
                  <c:v>Remaining Capital Commitment</c:v>
                </c:pt>
                <c:pt idx="5">
                  <c:v>Total</c:v>
                </c:pt>
              </c:strCache>
            </c:strRef>
          </c:cat>
          <c:val>
            <c:numRef>
              <c:f>Charts!$AG$7:$AG$12</c:f>
              <c:numCache>
                <c:formatCode>"$"#,##0_);[Red]\("$"#,##0\)</c:formatCode>
                <c:ptCount val="6"/>
                <c:pt idx="0">
                  <c:v>11466.03</c:v>
                </c:pt>
                <c:pt idx="1">
                  <c:v>69700</c:v>
                </c:pt>
                <c:pt idx="2">
                  <c:v>1092000</c:v>
                </c:pt>
                <c:pt idx="3">
                  <c:v>125000</c:v>
                </c:pt>
                <c:pt idx="4">
                  <c:v>50000</c:v>
                </c:pt>
                <c:pt idx="5">
                  <c:v>1348166.03</c:v>
                </c:pt>
              </c:numCache>
            </c:numRef>
          </c:val>
          <c:extLst>
            <c:ext xmlns:c16="http://schemas.microsoft.com/office/drawing/2014/chart" uri="{C3380CC4-5D6E-409C-BE32-E72D297353CC}">
              <c16:uniqueId val="{00000000-6C7C-4DA4-8E89-AAE6272F6226}"/>
            </c:ext>
          </c:extLst>
        </c:ser>
        <c:dLbls>
          <c:showLegendKey val="0"/>
          <c:showVal val="0"/>
          <c:showCatName val="0"/>
          <c:showSerName val="0"/>
          <c:showPercent val="0"/>
          <c:showBubbleSize val="0"/>
        </c:dLbls>
        <c:gapWidth val="219"/>
        <c:overlap val="-27"/>
        <c:axId val="1207994896"/>
        <c:axId val="1207995856"/>
      </c:barChart>
      <c:catAx>
        <c:axId val="120799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Body"/>
                <a:ea typeface="Calibri" panose="020F0502020204030204" pitchFamily="34" charset="0"/>
                <a:cs typeface="Calibri" panose="020F0502020204030204" pitchFamily="34" charset="0"/>
              </a:defRPr>
            </a:pPr>
            <a:endParaRPr lang="en-US"/>
          </a:p>
        </c:txPr>
        <c:crossAx val="1207995856"/>
        <c:crossesAt val="0"/>
        <c:auto val="1"/>
        <c:lblAlgn val="ctr"/>
        <c:lblOffset val="100"/>
        <c:noMultiLvlLbl val="0"/>
      </c:catAx>
      <c:valAx>
        <c:axId val="1207995856"/>
        <c:scaling>
          <c:orientation val="minMax"/>
          <c:max val="7500000"/>
          <c:min val="100"/>
        </c:scaling>
        <c:delete val="1"/>
        <c:axPos val="l"/>
        <c:majorGridlines>
          <c:spPr>
            <a:ln w="9525" cap="flat" cmpd="sng" algn="ctr">
              <a:noFill/>
              <a:round/>
            </a:ln>
            <a:effectLst/>
          </c:spPr>
        </c:majorGridlines>
        <c:numFmt formatCode="&quot;$&quot;#,##0_);[Red]\(&quot;$&quot;#,##0\)" sourceLinked="1"/>
        <c:majorTickMark val="out"/>
        <c:minorTickMark val="none"/>
        <c:tickLblPos val="nextTo"/>
        <c:crossAx val="12079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Body"/>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Aptos Bdy"/>
                <a:ea typeface="+mn-ea"/>
                <a:cs typeface="+mn-cs"/>
              </a:defRPr>
            </a:pPr>
            <a:r>
              <a:rPr lang="en-US" sz="1400" b="1" u="sng" baseline="0"/>
              <a:t>Projected </a:t>
            </a:r>
            <a:r>
              <a:rPr lang="en-US" sz="1400" b="1" u="sng"/>
              <a:t>Net Cash FLow</a:t>
            </a:r>
          </a:p>
        </c:rich>
      </c:tx>
      <c:layout>
        <c:manualLayout>
          <c:xMode val="edge"/>
          <c:yMode val="edge"/>
          <c:x val="0.41933741833728772"/>
          <c:y val="1.9972032863586928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Aptos Bdy"/>
              <a:ea typeface="+mn-ea"/>
              <a:cs typeface="+mn-cs"/>
            </a:defRPr>
          </a:pPr>
          <a:endParaRPr lang="en-US"/>
        </a:p>
      </c:txPr>
    </c:title>
    <c:autoTitleDeleted val="0"/>
    <c:plotArea>
      <c:layout>
        <c:manualLayout>
          <c:layoutTarget val="inner"/>
          <c:xMode val="edge"/>
          <c:yMode val="edge"/>
          <c:x val="5.0227398679661688E-2"/>
          <c:y val="0.39700535361935779"/>
          <c:w val="0.97568309908371231"/>
          <c:h val="0.48452864021007835"/>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1-4108-4CD8-96BB-4C2DB588B20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4108-4CD8-96BB-4C2DB588B204}"/>
              </c:ext>
            </c:extLst>
          </c:dPt>
          <c:dLbls>
            <c:dLbl>
              <c:idx val="0"/>
              <c:layout>
                <c:manualLayout>
                  <c:x val="-5.1522334084263168E-18"/>
                  <c:y val="-5.8790603790608294E-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08-4CD8-96BB-4C2DB588B204}"/>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ptos Bdy"/>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Charts!$D$25:$P$25</c:f>
              <c:strCache>
                <c:ptCount val="13"/>
                <c:pt idx="0">
                  <c:v>December</c:v>
                </c:pt>
                <c:pt idx="1">
                  <c:v>January</c:v>
                </c:pt>
                <c:pt idx="2">
                  <c:v>February</c:v>
                </c:pt>
                <c:pt idx="3">
                  <c:v>March</c:v>
                </c:pt>
                <c:pt idx="4">
                  <c:v>April</c:v>
                </c:pt>
                <c:pt idx="5">
                  <c:v>May </c:v>
                </c:pt>
                <c:pt idx="6">
                  <c:v>June</c:v>
                </c:pt>
                <c:pt idx="7">
                  <c:v>July</c:v>
                </c:pt>
                <c:pt idx="8">
                  <c:v>August </c:v>
                </c:pt>
                <c:pt idx="9">
                  <c:v>September</c:v>
                </c:pt>
                <c:pt idx="10">
                  <c:v>October</c:v>
                </c:pt>
                <c:pt idx="11">
                  <c:v>November</c:v>
                </c:pt>
                <c:pt idx="12">
                  <c:v>December</c:v>
                </c:pt>
              </c:strCache>
            </c:strRef>
          </c:cat>
          <c:val>
            <c:numRef>
              <c:f>Charts!$D$43:$P$43</c:f>
              <c:numCache>
                <c:formatCode>"$"#,##0_);\("$"#,##0\)</c:formatCode>
                <c:ptCount val="13"/>
                <c:pt idx="0">
                  <c:v>193661.04840657217</c:v>
                </c:pt>
                <c:pt idx="1">
                  <c:v>-19347.299876359019</c:v>
                </c:pt>
                <c:pt idx="2">
                  <c:v>-1871.9828559612033</c:v>
                </c:pt>
                <c:pt idx="3">
                  <c:v>-1928.6550084098744</c:v>
                </c:pt>
                <c:pt idx="4">
                  <c:v>-46990.203481818593</c:v>
                </c:pt>
                <c:pt idx="5">
                  <c:v>-6000.7540868415126</c:v>
                </c:pt>
                <c:pt idx="6">
                  <c:v>-3029.2555612500473</c:v>
                </c:pt>
                <c:pt idx="7">
                  <c:v>-21574.130873810242</c:v>
                </c:pt>
                <c:pt idx="8">
                  <c:v>-17096.471499362167</c:v>
                </c:pt>
                <c:pt idx="9">
                  <c:v>-2101.3859026210921</c:v>
                </c:pt>
                <c:pt idx="10">
                  <c:v>-2110.9302989729113</c:v>
                </c:pt>
                <c:pt idx="11">
                  <c:v>-6121.8544707211367</c:v>
                </c:pt>
                <c:pt idx="12">
                  <c:v>192754.73328069784</c:v>
                </c:pt>
              </c:numCache>
            </c:numRef>
          </c:val>
          <c:extLst>
            <c:ext xmlns:c16="http://schemas.microsoft.com/office/drawing/2014/chart" uri="{C3380CC4-5D6E-409C-BE32-E72D297353CC}">
              <c16:uniqueId val="{00000000-4108-4CD8-96BB-4C2DB588B204}"/>
            </c:ext>
          </c:extLst>
        </c:ser>
        <c:dLbls>
          <c:showLegendKey val="0"/>
          <c:showVal val="0"/>
          <c:showCatName val="0"/>
          <c:showSerName val="0"/>
          <c:showPercent val="0"/>
          <c:showBubbleSize val="0"/>
        </c:dLbls>
        <c:gapWidth val="99"/>
        <c:overlap val="-40"/>
        <c:axId val="2076759488"/>
        <c:axId val="2013879696"/>
      </c:barChart>
      <c:catAx>
        <c:axId val="207675948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1000" b="0" i="0" u="none" strike="noStrike" kern="1200" baseline="0">
                <a:ln>
                  <a:noFill/>
                </a:ln>
                <a:solidFill>
                  <a:schemeClr val="tx1">
                    <a:lumMod val="65000"/>
                    <a:lumOff val="35000"/>
                  </a:schemeClr>
                </a:solidFill>
                <a:latin typeface="Aptos Bdy"/>
                <a:ea typeface="+mn-ea"/>
                <a:cs typeface="+mn-cs"/>
              </a:defRPr>
            </a:pPr>
            <a:endParaRPr lang="en-US"/>
          </a:p>
        </c:txPr>
        <c:crossAx val="2013879696"/>
        <c:crosses val="autoZero"/>
        <c:auto val="1"/>
        <c:lblAlgn val="ctr"/>
        <c:lblOffset val="100"/>
        <c:noMultiLvlLbl val="1"/>
      </c:catAx>
      <c:valAx>
        <c:axId val="201387969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quot;$&quot;#,##0\)" sourceLinked="1"/>
        <c:majorTickMark val="out"/>
        <c:minorTickMark val="none"/>
        <c:tickLblPos val="nextTo"/>
        <c:crossAx val="20767594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Aptos Bdy"/>
        </a:defRPr>
      </a:pPr>
      <a:endParaRPr lang="en-US"/>
    </a:p>
  </c:txPr>
  <c:printSettings>
    <c:headerFooter/>
    <c:pageMargins b="0.3" l="0.3" r="0.3" t="0.3" header="0.3" footer="0.3"/>
    <c:pageSetup orientation="landscape"/>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414569287476984"/>
          <c:y val="0.15193250652149706"/>
          <c:w val="0.31765712913624228"/>
          <c:h val="0.6587079861033118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674-43B8-B612-2E4FA6B3321F}"/>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0674-43B8-B612-2E4FA6B3321F}"/>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4-0674-43B8-B612-2E4FA6B3321F}"/>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0674-43B8-B612-2E4FA6B3321F}"/>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0674-43B8-B612-2E4FA6B3321F}"/>
              </c:ext>
            </c:extLst>
          </c:dPt>
          <c:dPt>
            <c:idx val="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6-0674-43B8-B612-2E4FA6B3321F}"/>
              </c:ext>
            </c:extLst>
          </c:dPt>
          <c:dPt>
            <c:idx val="6"/>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0674-43B8-B612-2E4FA6B3321F}"/>
              </c:ext>
            </c:extLst>
          </c:dPt>
          <c:dPt>
            <c:idx val="7"/>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F-F49C-47AF-8D50-9EE6656F51FE}"/>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1-DE58-421B-A8F2-D9BF700A3C7C}"/>
              </c:ext>
            </c:extLst>
          </c:dPt>
          <c:dLbls>
            <c:dLbl>
              <c:idx val="0"/>
              <c:layout>
                <c:manualLayout>
                  <c:x val="8.3538432924759293E-2"/>
                  <c:y val="2.33217486315542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674-43B8-B612-2E4FA6B3321F}"/>
                </c:ext>
              </c:extLst>
            </c:dLbl>
            <c:dLbl>
              <c:idx val="1"/>
              <c:layout>
                <c:manualLayout>
                  <c:x val="5.1186132983377076E-2"/>
                  <c:y val="-3.0770632837561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74-43B8-B612-2E4FA6B3321F}"/>
                </c:ext>
              </c:extLst>
            </c:dLbl>
            <c:dLbl>
              <c:idx val="2"/>
              <c:layout>
                <c:manualLayout>
                  <c:x val="4.8449925604374174E-2"/>
                  <c:y val="-5.5440962660500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696784344452375"/>
                      <c:h val="0.31003008078947564"/>
                    </c:manualLayout>
                  </c15:layout>
                </c:ext>
                <c:ext xmlns:c16="http://schemas.microsoft.com/office/drawing/2014/chart" uri="{C3380CC4-5D6E-409C-BE32-E72D297353CC}">
                  <c16:uniqueId val="{00000004-0674-43B8-B612-2E4FA6B3321F}"/>
                </c:ext>
              </c:extLst>
            </c:dLbl>
            <c:dLbl>
              <c:idx val="3"/>
              <c:layout>
                <c:manualLayout>
                  <c:x val="0.29703175898706374"/>
                  <c:y val="6.98458986408753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74-43B8-B612-2E4FA6B3321F}"/>
                </c:ext>
              </c:extLst>
            </c:dLbl>
            <c:dLbl>
              <c:idx val="4"/>
              <c:layout>
                <c:manualLayout>
                  <c:x val="-8.4444452469862805E-3"/>
                  <c:y val="-0.15595170414463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74-43B8-B612-2E4FA6B3321F}"/>
                </c:ext>
              </c:extLst>
            </c:dLbl>
            <c:dLbl>
              <c:idx val="5"/>
              <c:layout>
                <c:manualLayout>
                  <c:x val="1.3153083445889823E-2"/>
                  <c:y val="-0.192487229149965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674-43B8-B612-2E4FA6B3321F}"/>
                </c:ext>
              </c:extLst>
            </c:dLbl>
            <c:dLbl>
              <c:idx val="6"/>
              <c:layout>
                <c:manualLayout>
                  <c:x val="-4.8955301230055856E-2"/>
                  <c:y val="-9.5145666098764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674-43B8-B612-2E4FA6B3321F}"/>
                </c:ext>
              </c:extLst>
            </c:dLbl>
            <c:dLbl>
              <c:idx val="8"/>
              <c:layout>
                <c:manualLayout>
                  <c:x val="4.9363063560074208E-2"/>
                  <c:y val="6.9869253171403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E58-421B-A8F2-D9BF700A3C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Charts!$AB$103:$AB$111</c:f>
              <c:strCache>
                <c:ptCount val="9"/>
                <c:pt idx="0">
                  <c:v>Cash</c:v>
                </c:pt>
                <c:pt idx="1">
                  <c:v>International</c:v>
                </c:pt>
                <c:pt idx="2">
                  <c:v>US Total Market</c:v>
                </c:pt>
                <c:pt idx="3">
                  <c:v>US Large Cap</c:v>
                </c:pt>
                <c:pt idx="4">
                  <c:v>US Small Cap</c:v>
                </c:pt>
                <c:pt idx="5">
                  <c:v>US Dividend / Value</c:v>
                </c:pt>
                <c:pt idx="6">
                  <c:v>Meta</c:v>
                </c:pt>
                <c:pt idx="7">
                  <c:v>Other Single Stock</c:v>
                </c:pt>
                <c:pt idx="8">
                  <c:v>Crypto</c:v>
                </c:pt>
              </c:strCache>
            </c:strRef>
          </c:cat>
          <c:val>
            <c:numRef>
              <c:f>Charts!$AC$103:$AC$111</c:f>
              <c:numCache>
                <c:formatCode>"$"#,##0_);[Red]\("$"#,##0\)</c:formatCode>
                <c:ptCount val="9"/>
                <c:pt idx="0">
                  <c:v>186585.93342009356</c:v>
                </c:pt>
                <c:pt idx="1">
                  <c:v>116538.30066575776</c:v>
                </c:pt>
                <c:pt idx="2">
                  <c:v>379877.58423793013</c:v>
                </c:pt>
                <c:pt idx="3">
                  <c:v>435000</c:v>
                </c:pt>
                <c:pt idx="4">
                  <c:v>49317.756246552664</c:v>
                </c:pt>
                <c:pt idx="5">
                  <c:v>94368.991437834629</c:v>
                </c:pt>
                <c:pt idx="6">
                  <c:v>238311.4339918312</c:v>
                </c:pt>
                <c:pt idx="7">
                  <c:v>0</c:v>
                </c:pt>
                <c:pt idx="8">
                  <c:v>9500</c:v>
                </c:pt>
              </c:numCache>
            </c:numRef>
          </c:val>
          <c:extLst>
            <c:ext xmlns:c16="http://schemas.microsoft.com/office/drawing/2014/chart" uri="{C3380CC4-5D6E-409C-BE32-E72D297353CC}">
              <c16:uniqueId val="{00000000-0674-43B8-B612-2E4FA6B332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414569287476984"/>
          <c:y val="0.15193250652149706"/>
          <c:w val="0.35789501849963279"/>
          <c:h val="0.72408268822556743"/>
        </c:manualLayout>
      </c:layout>
      <c:pieChart>
        <c:varyColors val="1"/>
        <c:ser>
          <c:idx val="0"/>
          <c:order val="0"/>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CC07-45A8-8E36-2F8ED1C89A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07-45A8-8E36-2F8ED1C89AD6}"/>
              </c:ext>
            </c:extLst>
          </c:dPt>
          <c:dLbls>
            <c:dLbl>
              <c:idx val="0"/>
              <c:layout>
                <c:manualLayout>
                  <c:x val="2.3763457047089657E-2"/>
                  <c:y val="-0.19020545301463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07-45A8-8E36-2F8ED1C89AD6}"/>
                </c:ext>
              </c:extLst>
            </c:dLbl>
            <c:dLbl>
              <c:idx val="1"/>
              <c:layout>
                <c:manualLayout>
                  <c:x val="-1.5987911716898187E-2"/>
                  <c:y val="8.1570757637974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07-45A8-8E36-2F8ED1C89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Charts!$X$124:$X$125</c:f>
              <c:strCache>
                <c:ptCount val="2"/>
                <c:pt idx="0">
                  <c:v>Pre-Tax</c:v>
                </c:pt>
                <c:pt idx="1">
                  <c:v>After- Tax</c:v>
                </c:pt>
              </c:strCache>
            </c:strRef>
          </c:cat>
          <c:val>
            <c:numRef>
              <c:f>Charts!$Y$124:$Y$125</c:f>
              <c:numCache>
                <c:formatCode>"$"#,##0_);[Red]\("$"#,##0\)</c:formatCode>
                <c:ptCount val="2"/>
                <c:pt idx="0">
                  <c:v>620000</c:v>
                </c:pt>
                <c:pt idx="1">
                  <c:v>380000</c:v>
                </c:pt>
              </c:numCache>
            </c:numRef>
          </c:val>
          <c:extLst>
            <c:ext xmlns:c16="http://schemas.microsoft.com/office/drawing/2014/chart" uri="{C3380CC4-5D6E-409C-BE32-E72D297353CC}">
              <c16:uniqueId val="{0000000E-CC07-45A8-8E36-2F8ED1C89A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5789501849963279"/>
          <c:h val="0.72408268822556743"/>
        </c:manualLayout>
      </c:layout>
      <c:pieChart>
        <c:varyColors val="1"/>
        <c:ser>
          <c:idx val="0"/>
          <c:order val="0"/>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5FC5-4074-A4E6-8ED1339F408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5FC5-4074-A4E6-8ED1339F4087}"/>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5FC5-4074-A4E6-8ED1339F4087}"/>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5FC5-4074-A4E6-8ED1339F4087}"/>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5FC5-4074-A4E6-8ED1339F4087}"/>
              </c:ext>
            </c:extLst>
          </c:dPt>
          <c:dPt>
            <c:idx val="5"/>
            <c:bubble3D val="0"/>
            <c:spPr>
              <a:solidFill>
                <a:srgbClr val="FFCC00"/>
              </a:solidFill>
              <a:ln w="19050">
                <a:solidFill>
                  <a:schemeClr val="lt1"/>
                </a:solidFill>
              </a:ln>
              <a:effectLst/>
            </c:spPr>
            <c:extLst>
              <c:ext xmlns:c16="http://schemas.microsoft.com/office/drawing/2014/chart" uri="{C3380CC4-5D6E-409C-BE32-E72D297353CC}">
                <c16:uniqueId val="{0000000A-6D22-4CE8-AA68-DB24C1A1BDD9}"/>
              </c:ext>
            </c:extLst>
          </c:dPt>
          <c:dPt>
            <c:idx val="6"/>
            <c:bubble3D val="0"/>
            <c:spPr>
              <a:solidFill>
                <a:srgbClr val="C00000"/>
              </a:solidFill>
              <a:ln w="19050">
                <a:solidFill>
                  <a:schemeClr val="lt1"/>
                </a:solidFill>
              </a:ln>
              <a:effectLst/>
            </c:spPr>
            <c:extLst>
              <c:ext xmlns:c16="http://schemas.microsoft.com/office/drawing/2014/chart" uri="{C3380CC4-5D6E-409C-BE32-E72D297353CC}">
                <c16:uniqueId val="{0000000D-27D7-405D-B751-7218DB4502FB}"/>
              </c:ext>
            </c:extLst>
          </c:dPt>
          <c:dLbls>
            <c:dLbl>
              <c:idx val="0"/>
              <c:layout>
                <c:manualLayout>
                  <c:x val="2.6081567195608817E-2"/>
                  <c:y val="4.817787589548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C5-4074-A4E6-8ED1339F4087}"/>
                </c:ext>
              </c:extLst>
            </c:dLbl>
            <c:dLbl>
              <c:idx val="1"/>
              <c:layout>
                <c:manualLayout>
                  <c:x val="8.6176243849283695E-3"/>
                  <c:y val="-0.287525218164962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C5-4074-A4E6-8ED1339F4087}"/>
                </c:ext>
              </c:extLst>
            </c:dLbl>
            <c:dLbl>
              <c:idx val="2"/>
              <c:layout>
                <c:manualLayout>
                  <c:x val="0.31951824184148925"/>
                  <c:y val="-3.96682182780952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C5-4074-A4E6-8ED1339F4087}"/>
                </c:ext>
              </c:extLst>
            </c:dLbl>
            <c:dLbl>
              <c:idx val="3"/>
              <c:layout>
                <c:manualLayout>
                  <c:x val="4.8144407439293255E-2"/>
                  <c:y val="-0.213670868968948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FC5-4074-A4E6-8ED1339F4087}"/>
                </c:ext>
              </c:extLst>
            </c:dLbl>
            <c:dLbl>
              <c:idx val="4"/>
              <c:delete val="1"/>
              <c:extLst>
                <c:ext xmlns:c15="http://schemas.microsoft.com/office/drawing/2012/chart" uri="{CE6537A1-D6FC-4f65-9D91-7224C49458BB}"/>
                <c:ext xmlns:c16="http://schemas.microsoft.com/office/drawing/2014/chart" uri="{C3380CC4-5D6E-409C-BE32-E72D297353CC}">
                  <c16:uniqueId val="{00000009-5FC5-4074-A4E6-8ED1339F4087}"/>
                </c:ext>
              </c:extLst>
            </c:dLbl>
            <c:dLbl>
              <c:idx val="5"/>
              <c:layout>
                <c:manualLayout>
                  <c:x val="4.8178159762402341E-2"/>
                  <c:y val="6.94769723151772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6D22-4CE8-AA68-DB24C1A1BDD9}"/>
                </c:ext>
              </c:extLst>
            </c:dLbl>
            <c:dLbl>
              <c:idx val="6"/>
              <c:layout>
                <c:manualLayout>
                  <c:x val="7.814834339340361E-2"/>
                  <c:y val="1.64520814344349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7D7-405D-B751-7218DB4502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Charts!$AA$124:$AA$130</c:f>
              <c:strCache>
                <c:ptCount val="7"/>
                <c:pt idx="0">
                  <c:v>International</c:v>
                </c:pt>
                <c:pt idx="1">
                  <c:v>US Total Market</c:v>
                </c:pt>
                <c:pt idx="2">
                  <c:v>US Large Cap</c:v>
                </c:pt>
                <c:pt idx="3">
                  <c:v>US Small Cap</c:v>
                </c:pt>
                <c:pt idx="4">
                  <c:v>Other Single Stock</c:v>
                </c:pt>
                <c:pt idx="5">
                  <c:v>Bonds</c:v>
                </c:pt>
                <c:pt idx="6">
                  <c:v>Cash</c:v>
                </c:pt>
              </c:strCache>
            </c:strRef>
          </c:cat>
          <c:val>
            <c:numRef>
              <c:f>Charts!$AB$124:$AB$130</c:f>
              <c:numCache>
                <c:formatCode>"$"#,##0_);[Red]\("$"#,##0\)</c:formatCode>
                <c:ptCount val="7"/>
                <c:pt idx="0">
                  <c:v>128146.25020852119</c:v>
                </c:pt>
                <c:pt idx="1">
                  <c:v>400000</c:v>
                </c:pt>
                <c:pt idx="2">
                  <c:v>100000</c:v>
                </c:pt>
                <c:pt idx="3">
                  <c:v>274264.47466138931</c:v>
                </c:pt>
                <c:pt idx="4">
                  <c:v>0</c:v>
                </c:pt>
                <c:pt idx="5">
                  <c:v>61209.775501417389</c:v>
                </c:pt>
                <c:pt idx="6">
                  <c:v>36379.499628672078</c:v>
                </c:pt>
              </c:numCache>
            </c:numRef>
          </c:val>
          <c:extLst>
            <c:ext xmlns:c16="http://schemas.microsoft.com/office/drawing/2014/chart" uri="{C3380CC4-5D6E-409C-BE32-E72D297353CC}">
              <c16:uniqueId val="{0000000E-5FC5-4074-A4E6-8ED1339F408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501487384945033"/>
          <c:y val="0.1458077509980322"/>
          <c:w val="0.2793755305323728"/>
          <c:h val="0.62724735208797144"/>
        </c:manualLayout>
      </c:layout>
      <c:pieChart>
        <c:varyColors val="1"/>
        <c:ser>
          <c:idx val="0"/>
          <c:order val="0"/>
          <c:dPt>
            <c:idx val="0"/>
            <c:bubble3D val="0"/>
            <c:spPr>
              <a:solidFill>
                <a:srgbClr val="CFD5EA"/>
              </a:solidFill>
              <a:ln w="19050">
                <a:solidFill>
                  <a:schemeClr val="lt1"/>
                </a:solidFill>
              </a:ln>
              <a:effectLst/>
            </c:spPr>
            <c:extLst>
              <c:ext xmlns:c16="http://schemas.microsoft.com/office/drawing/2014/chart" uri="{C3380CC4-5D6E-409C-BE32-E72D297353CC}">
                <c16:uniqueId val="{00000001-68A1-41E4-BF86-0ECE48061F95}"/>
              </c:ext>
            </c:extLst>
          </c:dPt>
          <c:dPt>
            <c:idx val="1"/>
            <c:bubble3D val="0"/>
            <c:spPr>
              <a:solidFill>
                <a:srgbClr val="4472C4"/>
              </a:solidFill>
              <a:ln w="19050">
                <a:solidFill>
                  <a:schemeClr val="lt1"/>
                </a:solidFill>
              </a:ln>
              <a:effectLst/>
            </c:spPr>
            <c:extLst>
              <c:ext xmlns:c16="http://schemas.microsoft.com/office/drawing/2014/chart" uri="{C3380CC4-5D6E-409C-BE32-E72D297353CC}">
                <c16:uniqueId val="{00000003-68A1-41E4-BF86-0ECE48061F95}"/>
              </c:ext>
            </c:extLst>
          </c:dPt>
          <c:dPt>
            <c:idx val="2"/>
            <c:bubble3D val="0"/>
            <c:spPr>
              <a:solidFill>
                <a:srgbClr val="2F5597"/>
              </a:solidFill>
              <a:ln w="19050">
                <a:solidFill>
                  <a:schemeClr val="lt1"/>
                </a:solidFill>
              </a:ln>
              <a:effectLst/>
            </c:spPr>
            <c:extLst>
              <c:ext xmlns:c16="http://schemas.microsoft.com/office/drawing/2014/chart" uri="{C3380CC4-5D6E-409C-BE32-E72D297353CC}">
                <c16:uniqueId val="{00000005-68A1-41E4-BF86-0ECE48061F95}"/>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6-68A1-41E4-BF86-0ECE48061F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68A1-41E4-BF86-0ECE48061F95}"/>
              </c:ext>
            </c:extLst>
          </c:dPt>
          <c:dPt>
            <c:idx val="5"/>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B-ECFC-4C1D-9319-1FD45B612A9E}"/>
              </c:ext>
            </c:extLst>
          </c:dPt>
          <c:dLbls>
            <c:dLbl>
              <c:idx val="0"/>
              <c:layout>
                <c:manualLayout>
                  <c:x val="-0.10246979424021996"/>
                  <c:y val="1.30502021753762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FAADC"/>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A1-41E4-BF86-0ECE48061F95}"/>
                </c:ext>
              </c:extLst>
            </c:dLbl>
            <c:dLbl>
              <c:idx val="1"/>
              <c:layout>
                <c:manualLayout>
                  <c:x val="-1.0686064329252993E-2"/>
                  <c:y val="1.90075680896867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72C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A1-41E4-BF86-0ECE48061F95}"/>
                </c:ext>
              </c:extLst>
            </c:dLbl>
            <c:dLbl>
              <c:idx val="2"/>
              <c:layout>
                <c:manualLayout>
                  <c:x val="6.3779113124115133E-2"/>
                  <c:y val="9.12563645424979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A1-41E4-BF86-0ECE48061F95}"/>
                </c:ext>
              </c:extLst>
            </c:dLbl>
            <c:dLbl>
              <c:idx val="3"/>
              <c:layout>
                <c:manualLayout>
                  <c:x val="-2.3195969531075119E-3"/>
                  <c:y val="0.113775156319842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8A1-41E4-BF86-0ECE48061F95}"/>
                </c:ext>
              </c:extLst>
            </c:dLbl>
            <c:dLbl>
              <c:idx val="4"/>
              <c:layout>
                <c:manualLayout>
                  <c:x val="9.5476459171895955E-2"/>
                  <c:y val="-8.482631413994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8A1-41E4-BF86-0ECE48061F95}"/>
                </c:ext>
              </c:extLst>
            </c:dLbl>
            <c:dLbl>
              <c:idx val="5"/>
              <c:layout>
                <c:manualLayout>
                  <c:x val="1.4359420824322858E-2"/>
                  <c:y val="1.24809256395369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CFC-4C1D-9319-1FD45B612A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Charts!$X$94:$X$99</c:f>
              <c:strCache>
                <c:ptCount val="6"/>
                <c:pt idx="0">
                  <c:v>Immediate</c:v>
                </c:pt>
                <c:pt idx="1">
                  <c:v>Short-Term</c:v>
                </c:pt>
                <c:pt idx="2">
                  <c:v>Medium-Term</c:v>
                </c:pt>
                <c:pt idx="3">
                  <c:v>Long-Term Liquid</c:v>
                </c:pt>
                <c:pt idx="4">
                  <c:v>Long-Term Retirement</c:v>
                </c:pt>
                <c:pt idx="5">
                  <c:v>Long-Term Other (RE, Alts, Stock Comp)</c:v>
                </c:pt>
              </c:strCache>
            </c:strRef>
          </c:cat>
          <c:val>
            <c:numRef>
              <c:f>Charts!$Z$94:$Z$99</c:f>
              <c:numCache>
                <c:formatCode>"$"#,##0_);[Red]\("$"#,##0\)</c:formatCode>
                <c:ptCount val="6"/>
                <c:pt idx="0">
                  <c:v>132050</c:v>
                </c:pt>
                <c:pt idx="1">
                  <c:v>240000</c:v>
                </c:pt>
                <c:pt idx="2">
                  <c:v>135000</c:v>
                </c:pt>
                <c:pt idx="3">
                  <c:v>1509500</c:v>
                </c:pt>
                <c:pt idx="4">
                  <c:v>999999.99999999977</c:v>
                </c:pt>
                <c:pt idx="5">
                  <c:v>2980000</c:v>
                </c:pt>
              </c:numCache>
            </c:numRef>
          </c:val>
          <c:extLst>
            <c:ext xmlns:c16="http://schemas.microsoft.com/office/drawing/2014/chart" uri="{C3380CC4-5D6E-409C-BE32-E72D297353CC}">
              <c16:uniqueId val="{00000004-68A1-41E4-BF86-0ECE48061F9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501476100690347"/>
          <c:y val="0.19878735748498955"/>
          <c:w val="0.28361462504037682"/>
          <c:h val="0.63676486709842817"/>
        </c:manualLayout>
      </c:layout>
      <c:pie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F7B5-414F-9F17-7430D726CDAE}"/>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F7B5-414F-9F17-7430D726CDAE}"/>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F7B5-414F-9F17-7430D726CDA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F7B5-414F-9F17-7430D726CDAE}"/>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F7B5-414F-9F17-7430D726CDAE}"/>
              </c:ext>
            </c:extLst>
          </c:dPt>
          <c:dPt>
            <c:idx val="5"/>
            <c:bubble3D val="0"/>
            <c:spPr>
              <a:solidFill>
                <a:schemeClr val="accent4"/>
              </a:solidFill>
              <a:ln w="19050">
                <a:solidFill>
                  <a:schemeClr val="lt1"/>
                </a:solidFill>
              </a:ln>
              <a:effectLst/>
            </c:spPr>
            <c:extLst>
              <c:ext xmlns:c16="http://schemas.microsoft.com/office/drawing/2014/chart" uri="{C3380CC4-5D6E-409C-BE32-E72D297353CC}">
                <c16:uniqueId val="{0000000B-F7B5-414F-9F17-7430D726CDAE}"/>
              </c:ext>
            </c:extLst>
          </c:dPt>
          <c:dPt>
            <c:idx val="6"/>
            <c:bubble3D val="0"/>
            <c:spPr>
              <a:solidFill>
                <a:schemeClr val="accent5"/>
              </a:solidFill>
              <a:ln w="19050">
                <a:solidFill>
                  <a:schemeClr val="lt1"/>
                </a:solidFill>
              </a:ln>
              <a:effectLst/>
            </c:spPr>
            <c:extLst>
              <c:ext xmlns:c16="http://schemas.microsoft.com/office/drawing/2014/chart" uri="{C3380CC4-5D6E-409C-BE32-E72D297353CC}">
                <c16:uniqueId val="{0000000D-F7B5-414F-9F17-7430D726CDAE}"/>
              </c:ext>
            </c:extLst>
          </c:dPt>
          <c:dPt>
            <c:idx val="7"/>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F-D8AE-408E-A57B-C264E47BD674}"/>
              </c:ext>
            </c:extLst>
          </c:dPt>
          <c:dLbls>
            <c:dLbl>
              <c:idx val="0"/>
              <c:layout>
                <c:manualLayout>
                  <c:x val="-6.200218702188072E-3"/>
                  <c:y val="4.73723365229133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B5-414F-9F17-7430D726CDAE}"/>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F7B5-414F-9F17-7430D726CDAE}"/>
                </c:ext>
              </c:extLst>
            </c:dLbl>
            <c:dLbl>
              <c:idx val="2"/>
              <c:layout>
                <c:manualLayout>
                  <c:x val="-2.6115305301952673E-2"/>
                  <c:y val="-6.50511432687834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542367422010027"/>
                      <c:h val="0.30543424129457741"/>
                    </c:manualLayout>
                  </c15:layout>
                </c:ext>
                <c:ext xmlns:c16="http://schemas.microsoft.com/office/drawing/2014/chart" uri="{C3380CC4-5D6E-409C-BE32-E72D297353CC}">
                  <c16:uniqueId val="{00000005-F7B5-414F-9F17-7430D726CDAE}"/>
                </c:ext>
              </c:extLst>
            </c:dLbl>
            <c:dLbl>
              <c:idx val="3"/>
              <c:layout>
                <c:manualLayout>
                  <c:x val="8.2632665517527099E-2"/>
                  <c:y val="-5.68934281258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839998459515002"/>
                      <c:h val="0.23395611782523779"/>
                    </c:manualLayout>
                  </c15:layout>
                </c:ext>
                <c:ext xmlns:c16="http://schemas.microsoft.com/office/drawing/2014/chart" uri="{C3380CC4-5D6E-409C-BE32-E72D297353CC}">
                  <c16:uniqueId val="{00000007-F7B5-414F-9F17-7430D726CDAE}"/>
                </c:ext>
              </c:extLst>
            </c:dLbl>
            <c:dLbl>
              <c:idx val="4"/>
              <c:layout>
                <c:manualLayout>
                  <c:x val="-0.12678751693658222"/>
                  <c:y val="-5.0284049571363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7B5-414F-9F17-7430D726CDAE}"/>
                </c:ext>
              </c:extLst>
            </c:dLbl>
            <c:dLbl>
              <c:idx val="5"/>
              <c:layout>
                <c:manualLayout>
                  <c:x val="-2.0159346834361684E-3"/>
                  <c:y val="-5.9303545701034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7B5-414F-9F17-7430D726CDAE}"/>
                </c:ext>
              </c:extLst>
            </c:dLbl>
            <c:dLbl>
              <c:idx val="6"/>
              <c:layout>
                <c:manualLayout>
                  <c:x val="-5.5488502963683066E-2"/>
                  <c:y val="0.162497463843112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7B5-414F-9F17-7430D726CDAE}"/>
                </c:ext>
              </c:extLst>
            </c:dLbl>
            <c:dLbl>
              <c:idx val="7"/>
              <c:layout>
                <c:manualLayout>
                  <c:x val="-4.8774322449184469E-2"/>
                  <c:y val="2.7654357168767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8AE-408E-A57B-C264E47BD6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Charts!$U$93:$U$100</c:f>
              <c:strCache>
                <c:ptCount val="8"/>
                <c:pt idx="0">
                  <c:v>Cash</c:v>
                </c:pt>
                <c:pt idx="1">
                  <c:v>Treasuries</c:v>
                </c:pt>
                <c:pt idx="2">
                  <c:v>Liquid Brokerage Investments</c:v>
                </c:pt>
                <c:pt idx="3">
                  <c:v>Retirement Accounts</c:v>
                </c:pt>
                <c:pt idx="4">
                  <c:v>Alternative Assets</c:v>
                </c:pt>
                <c:pt idx="5">
                  <c:v>Real Estate</c:v>
                </c:pt>
                <c:pt idx="6">
                  <c:v>Private Equity Carry</c:v>
                </c:pt>
                <c:pt idx="7">
                  <c:v>Stock Compensation</c:v>
                </c:pt>
              </c:strCache>
            </c:strRef>
          </c:cat>
          <c:val>
            <c:numRef>
              <c:f>Charts!$W$93:$W$100</c:f>
              <c:numCache>
                <c:formatCode>"$"#,##0_);[Red]\("$"#,##0\)</c:formatCode>
                <c:ptCount val="8"/>
                <c:pt idx="0">
                  <c:v>372050</c:v>
                </c:pt>
                <c:pt idx="1">
                  <c:v>135000</c:v>
                </c:pt>
                <c:pt idx="2">
                  <c:v>1509500</c:v>
                </c:pt>
                <c:pt idx="3">
                  <c:v>1000000</c:v>
                </c:pt>
                <c:pt idx="4">
                  <c:v>250000</c:v>
                </c:pt>
                <c:pt idx="5">
                  <c:v>1815000</c:v>
                </c:pt>
                <c:pt idx="6">
                  <c:v>835000</c:v>
                </c:pt>
                <c:pt idx="7">
                  <c:v>80000</c:v>
                </c:pt>
              </c:numCache>
            </c:numRef>
          </c:val>
          <c:extLst>
            <c:ext xmlns:c16="http://schemas.microsoft.com/office/drawing/2014/chart" uri="{C3380CC4-5D6E-409C-BE32-E72D297353CC}">
              <c16:uniqueId val="{0000000E-F7B5-414F-9F17-7430D726CDA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5789501849963279"/>
          <c:h val="0.72408268822556743"/>
        </c:manualLayout>
      </c:layout>
      <c:pie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1E37-499A-8499-BB5C8622C024}"/>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1E37-499A-8499-BB5C8622C024}"/>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1E37-499A-8499-BB5C8622C024}"/>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1E37-499A-8499-BB5C8622C024}"/>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1E37-499A-8499-BB5C8622C024}"/>
              </c:ext>
            </c:extLst>
          </c:dPt>
          <c:dPt>
            <c:idx val="5"/>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B-1E37-499A-8499-BB5C8622C024}"/>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1E37-499A-8499-BB5C8622C02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E37-499A-8499-BB5C8622C024}"/>
              </c:ext>
            </c:extLst>
          </c:dPt>
          <c:dPt>
            <c:idx val="8"/>
            <c:bubble3D val="0"/>
            <c:spPr>
              <a:solidFill>
                <a:srgbClr val="FFCC00"/>
              </a:solidFill>
              <a:ln w="19050">
                <a:solidFill>
                  <a:schemeClr val="lt1"/>
                </a:solidFill>
              </a:ln>
              <a:effectLst/>
            </c:spPr>
            <c:extLst>
              <c:ext xmlns:c16="http://schemas.microsoft.com/office/drawing/2014/chart" uri="{C3380CC4-5D6E-409C-BE32-E72D297353CC}">
                <c16:uniqueId val="{00000010-1E37-499A-8499-BB5C8622C024}"/>
              </c:ext>
            </c:extLst>
          </c:dPt>
          <c:dPt>
            <c:idx val="9"/>
            <c:bubble3D val="0"/>
            <c:spPr>
              <a:solidFill>
                <a:srgbClr val="FFCC00"/>
              </a:solidFill>
              <a:ln w="19050">
                <a:solidFill>
                  <a:schemeClr val="lt1"/>
                </a:solidFill>
              </a:ln>
              <a:effectLst/>
            </c:spPr>
            <c:extLst>
              <c:ext xmlns:c16="http://schemas.microsoft.com/office/drawing/2014/chart" uri="{C3380CC4-5D6E-409C-BE32-E72D297353CC}">
                <c16:uniqueId val="{00000011-1E37-499A-8499-BB5C8622C024}"/>
              </c:ext>
            </c:extLst>
          </c:dPt>
          <c:dLbls>
            <c:dLbl>
              <c:idx val="0"/>
              <c:layout>
                <c:manualLayout>
                  <c:x val="9.2592168703530681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E37-499A-8499-BB5C8622C024}"/>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1E37-499A-8499-BB5C8622C024}"/>
                </c:ext>
              </c:extLst>
            </c:dLbl>
            <c:dLbl>
              <c:idx val="2"/>
              <c:layout>
                <c:manualLayout>
                  <c:x val="3.7822090041842255E-2"/>
                  <c:y val="-1.36024658204992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E37-499A-8499-BB5C8622C024}"/>
                </c:ext>
              </c:extLst>
            </c:dLbl>
            <c:dLbl>
              <c:idx val="3"/>
              <c:layout>
                <c:manualLayout>
                  <c:x val="0.21250852783370688"/>
                  <c:y val="5.4334968664147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E37-499A-8499-BB5C8622C024}"/>
                </c:ext>
              </c:extLst>
            </c:dLbl>
            <c:dLbl>
              <c:idx val="4"/>
              <c:layout>
                <c:manualLayout>
                  <c:x val="2.0933975952559289E-2"/>
                  <c:y val="6.9146403826138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E37-499A-8499-BB5C8622C024}"/>
                </c:ext>
              </c:extLst>
            </c:dLbl>
            <c:dLbl>
              <c:idx val="5"/>
              <c:layout>
                <c:manualLayout>
                  <c:x val="1.8364598410605507E-2"/>
                  <c:y val="0.13421861491733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E37-499A-8499-BB5C8622C024}"/>
                </c:ext>
              </c:extLst>
            </c:dLbl>
            <c:dLbl>
              <c:idx val="6"/>
              <c:layout>
                <c:manualLayout>
                  <c:x val="-3.3361175734984518E-2"/>
                  <c:y val="4.5929305582213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E37-499A-8499-BB5C8622C024}"/>
                </c:ext>
              </c:extLst>
            </c:dLbl>
            <c:dLbl>
              <c:idx val="7"/>
              <c:delete val="1"/>
              <c:extLst>
                <c:ext xmlns:c15="http://schemas.microsoft.com/office/drawing/2012/chart" uri="{CE6537A1-D6FC-4f65-9D91-7224C49458BB}"/>
                <c:ext xmlns:c16="http://schemas.microsoft.com/office/drawing/2014/chart" uri="{C3380CC4-5D6E-409C-BE32-E72D297353CC}">
                  <c16:uniqueId val="{0000000F-1E37-499A-8499-BB5C8622C024}"/>
                </c:ext>
              </c:extLst>
            </c:dLbl>
            <c:dLbl>
              <c:idx val="9"/>
              <c:layout>
                <c:manualLayout>
                  <c:x val="2.2709074223976659E-2"/>
                  <c:y val="1.51885097369110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1E37-499A-8499-BB5C8622C0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Charts!$AA$137:$AA$146</c:f>
              <c:strCache>
                <c:ptCount val="10"/>
                <c:pt idx="0">
                  <c:v>Cash</c:v>
                </c:pt>
                <c:pt idx="1">
                  <c:v>International</c:v>
                </c:pt>
                <c:pt idx="2">
                  <c:v>US Total Market</c:v>
                </c:pt>
                <c:pt idx="3">
                  <c:v>US Large Cap</c:v>
                </c:pt>
                <c:pt idx="4">
                  <c:v>US Small Cap</c:v>
                </c:pt>
                <c:pt idx="5">
                  <c:v>US Dividend / Value</c:v>
                </c:pt>
                <c:pt idx="6">
                  <c:v>Meta</c:v>
                </c:pt>
                <c:pt idx="7">
                  <c:v>Other Single Stock</c:v>
                </c:pt>
                <c:pt idx="8">
                  <c:v>Crypto</c:v>
                </c:pt>
                <c:pt idx="9">
                  <c:v>Bonds</c:v>
                </c:pt>
              </c:strCache>
            </c:strRef>
          </c:cat>
          <c:val>
            <c:numRef>
              <c:f>Charts!$AB$137:$AB$146</c:f>
              <c:numCache>
                <c:formatCode>"$"#,##0_);[Red]\("$"#,##0\)</c:formatCode>
                <c:ptCount val="10"/>
                <c:pt idx="0">
                  <c:v>222965.43304876564</c:v>
                </c:pt>
                <c:pt idx="1">
                  <c:v>244684.55087427894</c:v>
                </c:pt>
                <c:pt idx="2">
                  <c:v>779877.58423793013</c:v>
                </c:pt>
                <c:pt idx="3">
                  <c:v>535000</c:v>
                </c:pt>
                <c:pt idx="4">
                  <c:v>323582.23090794199</c:v>
                </c:pt>
                <c:pt idx="5">
                  <c:v>94368.991437834629</c:v>
                </c:pt>
                <c:pt idx="6">
                  <c:v>238311.4339918312</c:v>
                </c:pt>
                <c:pt idx="7">
                  <c:v>0</c:v>
                </c:pt>
                <c:pt idx="8">
                  <c:v>9500</c:v>
                </c:pt>
                <c:pt idx="9">
                  <c:v>61209.775501417389</c:v>
                </c:pt>
              </c:numCache>
            </c:numRef>
          </c:val>
          <c:extLst>
            <c:ext xmlns:c16="http://schemas.microsoft.com/office/drawing/2014/chart" uri="{C3380CC4-5D6E-409C-BE32-E72D297353CC}">
              <c16:uniqueId val="{0000000E-1E37-499A-8499-BB5C8622C02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5789501849963279"/>
          <c:h val="0.7240826882255674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26-4953-A81E-9AE35BAD125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726-4953-A81E-9AE35BAD12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26-4953-A81E-9AE35BAD1251}"/>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726-4953-A81E-9AE35BAD12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26-4953-A81E-9AE35BAD1251}"/>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1726-4953-A81E-9AE35BAD1251}"/>
              </c:ext>
            </c:extLst>
          </c:dPt>
          <c:dPt>
            <c:idx val="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1726-4953-A81E-9AE35BAD1251}"/>
              </c:ext>
            </c:extLst>
          </c:dPt>
          <c:dPt>
            <c:idx val="7"/>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F-1726-4953-A81E-9AE35BAD125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726-4953-A81E-9AE35BAD125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726-4953-A81E-9AE35BAD1251}"/>
              </c:ext>
            </c:extLst>
          </c:dPt>
          <c:dPt>
            <c:idx val="1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15-1726-4953-A81E-9AE35BAD1251}"/>
              </c:ext>
            </c:extLst>
          </c:dPt>
          <c:dPt>
            <c:idx val="11"/>
            <c:bubble3D val="0"/>
            <c:spPr>
              <a:solidFill>
                <a:srgbClr val="FFCC00"/>
              </a:solidFill>
              <a:ln w="19050">
                <a:solidFill>
                  <a:schemeClr val="lt1"/>
                </a:solidFill>
              </a:ln>
              <a:effectLst/>
            </c:spPr>
            <c:extLst>
              <c:ext xmlns:c16="http://schemas.microsoft.com/office/drawing/2014/chart" uri="{C3380CC4-5D6E-409C-BE32-E72D297353CC}">
                <c16:uniqueId val="{00000016-1726-4953-A81E-9AE35BAD1251}"/>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8-1726-4953-A81E-9AE35BAD125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7-1726-4953-A81E-9AE35BAD1251}"/>
              </c:ext>
            </c:extLst>
          </c:dPt>
          <c:dLbls>
            <c:dLbl>
              <c:idx val="0"/>
              <c:delete val="1"/>
              <c:extLst>
                <c:ext xmlns:c15="http://schemas.microsoft.com/office/drawing/2012/chart" uri="{CE6537A1-D6FC-4f65-9D91-7224C49458BB}"/>
                <c:ext xmlns:c16="http://schemas.microsoft.com/office/drawing/2014/chart" uri="{C3380CC4-5D6E-409C-BE32-E72D297353CC}">
                  <c16:uniqueId val="{00000001-1726-4953-A81E-9AE35BAD1251}"/>
                </c:ext>
              </c:extLst>
            </c:dLbl>
            <c:dLbl>
              <c:idx val="1"/>
              <c:layout>
                <c:manualLayout>
                  <c:x val="-3.0149067082096335E-2"/>
                  <c:y val="4.1763790867171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26-4953-A81E-9AE35BAD1251}"/>
                </c:ext>
              </c:extLst>
            </c:dLbl>
            <c:dLbl>
              <c:idx val="3"/>
              <c:layout>
                <c:manualLayout>
                  <c:x val="1.9996538979392766E-2"/>
                  <c:y val="2.9324969497231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726-4953-A81E-9AE35BAD1251}"/>
                </c:ext>
              </c:extLst>
            </c:dLbl>
            <c:dLbl>
              <c:idx val="4"/>
              <c:layout>
                <c:manualLayout>
                  <c:x val="-6.7175423258552094E-2"/>
                  <c:y val="7.66193832729790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726-4953-A81E-9AE35BAD1251}"/>
                </c:ext>
              </c:extLst>
            </c:dLbl>
            <c:dLbl>
              <c:idx val="5"/>
              <c:layout>
                <c:manualLayout>
                  <c:x val="4.3177604537326629E-2"/>
                  <c:y val="-5.31489649371843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726-4953-A81E-9AE35BAD1251}"/>
                </c:ext>
              </c:extLst>
            </c:dLbl>
            <c:dLbl>
              <c:idx val="6"/>
              <c:layout>
                <c:manualLayout>
                  <c:x val="2.1182169674022911E-2"/>
                  <c:y val="-3.2498334464205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726-4953-A81E-9AE35BAD1251}"/>
                </c:ext>
              </c:extLst>
            </c:dLbl>
            <c:dLbl>
              <c:idx val="7"/>
              <c:layout>
                <c:manualLayout>
                  <c:x val="3.1766420904725257E-2"/>
                  <c:y val="-0.13726361315873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726-4953-A81E-9AE35BAD1251}"/>
                </c:ext>
              </c:extLst>
            </c:dLbl>
            <c:dLbl>
              <c:idx val="8"/>
              <c:delete val="1"/>
              <c:extLst>
                <c:ext xmlns:c15="http://schemas.microsoft.com/office/drawing/2012/chart" uri="{CE6537A1-D6FC-4f65-9D91-7224C49458BB}"/>
                <c:ext xmlns:c16="http://schemas.microsoft.com/office/drawing/2014/chart" uri="{C3380CC4-5D6E-409C-BE32-E72D297353CC}">
                  <c16:uniqueId val="{00000011-1726-4953-A81E-9AE35BAD1251}"/>
                </c:ext>
              </c:extLst>
            </c:dLbl>
            <c:dLbl>
              <c:idx val="9"/>
              <c:delete val="1"/>
              <c:extLst>
                <c:ext xmlns:c15="http://schemas.microsoft.com/office/drawing/2012/chart" uri="{CE6537A1-D6FC-4f65-9D91-7224C49458BB}"/>
                <c:ext xmlns:c16="http://schemas.microsoft.com/office/drawing/2014/chart" uri="{C3380CC4-5D6E-409C-BE32-E72D297353CC}">
                  <c16:uniqueId val="{00000013-1726-4953-A81E-9AE35BAD1251}"/>
                </c:ext>
              </c:extLst>
            </c:dLbl>
            <c:dLbl>
              <c:idx val="10"/>
              <c:delete val="1"/>
              <c:extLst>
                <c:ext xmlns:c15="http://schemas.microsoft.com/office/drawing/2012/chart" uri="{CE6537A1-D6FC-4f65-9D91-7224C49458BB}"/>
                <c:ext xmlns:c16="http://schemas.microsoft.com/office/drawing/2014/chart" uri="{C3380CC4-5D6E-409C-BE32-E72D297353CC}">
                  <c16:uniqueId val="{00000015-1726-4953-A81E-9AE35BAD1251}"/>
                </c:ext>
              </c:extLst>
            </c:dLbl>
            <c:dLbl>
              <c:idx val="11"/>
              <c:layout>
                <c:manualLayout>
                  <c:x val="-1.1976498021972455E-2"/>
                  <c:y val="-2.470993520950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1726-4953-A81E-9AE35BAD1251}"/>
                </c:ext>
              </c:extLst>
            </c:dLbl>
            <c:dLbl>
              <c:idx val="12"/>
              <c:layout>
                <c:manualLayout>
                  <c:x val="1.949597731725077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8-1726-4953-A81E-9AE35BAD1251}"/>
                </c:ext>
              </c:extLst>
            </c:dLbl>
            <c:dLbl>
              <c:idx val="13"/>
              <c:delete val="1"/>
              <c:extLst>
                <c:ext xmlns:c15="http://schemas.microsoft.com/office/drawing/2012/chart" uri="{CE6537A1-D6FC-4f65-9D91-7224C49458BB}"/>
                <c:ext xmlns:c16="http://schemas.microsoft.com/office/drawing/2014/chart" uri="{C3380CC4-5D6E-409C-BE32-E72D297353CC}">
                  <c16:uniqueId val="{00000017-1726-4953-A81E-9AE35BAD12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Charts!$AD$137:$AD$150</c:f>
              <c:strCache>
                <c:ptCount val="14"/>
                <c:pt idx="0">
                  <c:v>Cash</c:v>
                </c:pt>
                <c:pt idx="1">
                  <c:v>International</c:v>
                </c:pt>
                <c:pt idx="3">
                  <c:v>US Total Market</c:v>
                </c:pt>
                <c:pt idx="4">
                  <c:v>US Large Cap</c:v>
                </c:pt>
                <c:pt idx="5">
                  <c:v>US Large Cap Growth</c:v>
                </c:pt>
                <c:pt idx="6">
                  <c:v>US Small Cap</c:v>
                </c:pt>
                <c:pt idx="7">
                  <c:v>US Dividend / Value</c:v>
                </c:pt>
                <c:pt idx="9">
                  <c:v>Other Single Stock</c:v>
                </c:pt>
                <c:pt idx="10">
                  <c:v>Crypto</c:v>
                </c:pt>
                <c:pt idx="11">
                  <c:v>Bonds</c:v>
                </c:pt>
                <c:pt idx="12">
                  <c:v>REITS, Commodities</c:v>
                </c:pt>
                <c:pt idx="13">
                  <c:v>Meta</c:v>
                </c:pt>
              </c:strCache>
            </c:strRef>
          </c:cat>
          <c:val>
            <c:numRef>
              <c:f>Charts!$AH$137:$AH$150</c:f>
              <c:numCache>
                <c:formatCode>"$"#,##0_);[Red]\("$"#,##0\)</c:formatCode>
                <c:ptCount val="14"/>
                <c:pt idx="0">
                  <c:v>0</c:v>
                </c:pt>
                <c:pt idx="1">
                  <c:v>501900</c:v>
                </c:pt>
                <c:pt idx="3">
                  <c:v>225474.99999999997</c:v>
                </c:pt>
                <c:pt idx="4">
                  <c:v>476425</c:v>
                </c:pt>
                <c:pt idx="5">
                  <c:v>300950</c:v>
                </c:pt>
                <c:pt idx="6">
                  <c:v>250950</c:v>
                </c:pt>
                <c:pt idx="7">
                  <c:v>125475</c:v>
                </c:pt>
                <c:pt idx="9">
                  <c:v>0</c:v>
                </c:pt>
                <c:pt idx="10">
                  <c:v>0</c:v>
                </c:pt>
                <c:pt idx="11">
                  <c:v>452850</c:v>
                </c:pt>
                <c:pt idx="12">
                  <c:v>175475</c:v>
                </c:pt>
                <c:pt idx="13">
                  <c:v>0</c:v>
                </c:pt>
              </c:numCache>
            </c:numRef>
          </c:val>
          <c:extLst>
            <c:ext xmlns:c16="http://schemas.microsoft.com/office/drawing/2014/chart" uri="{C3380CC4-5D6E-409C-BE32-E72D297353CC}">
              <c16:uniqueId val="{00000014-1726-4953-A81E-9AE35BAD125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2666830118396328"/>
          <c:h val="0.6768605024612729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44-4DDC-9209-4ECC97B54DF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744-4DDC-9209-4ECC97B54D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44-4DDC-9209-4ECC97B54DF2}"/>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744-4DDC-9209-4ECC97B54D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44-4DDC-9209-4ECC97B54DF2}"/>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1744-4DDC-9209-4ECC97B54DF2}"/>
              </c:ext>
            </c:extLst>
          </c:dPt>
          <c:dPt>
            <c:idx val="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1744-4DDC-9209-4ECC97B54DF2}"/>
              </c:ext>
            </c:extLst>
          </c:dPt>
          <c:dPt>
            <c:idx val="7"/>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13-1744-4DDC-9209-4ECC97B54DF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744-4DDC-9209-4ECC97B54DF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2-1744-4DDC-9209-4ECC97B54DF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0-1744-4DDC-9209-4ECC97B54DF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5-1744-4DDC-9209-4ECC97B54DF2}"/>
              </c:ext>
            </c:extLst>
          </c:dPt>
          <c:dPt>
            <c:idx val="1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4-1744-4DDC-9209-4ECC97B54DF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F-1744-4DDC-9209-4ECC97B54DF2}"/>
              </c:ext>
            </c:extLst>
          </c:dPt>
          <c:dLbls>
            <c:dLbl>
              <c:idx val="0"/>
              <c:delete val="1"/>
              <c:extLst>
                <c:ext xmlns:c15="http://schemas.microsoft.com/office/drawing/2012/chart" uri="{CE6537A1-D6FC-4f65-9D91-7224C49458BB}"/>
                <c:ext xmlns:c16="http://schemas.microsoft.com/office/drawing/2014/chart" uri="{C3380CC4-5D6E-409C-BE32-E72D297353CC}">
                  <c16:uniqueId val="{00000001-1744-4DDC-9209-4ECC97B54DF2}"/>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1744-4DDC-9209-4ECC97B54DF2}"/>
                </c:ext>
              </c:extLst>
            </c:dLbl>
            <c:dLbl>
              <c:idx val="3"/>
              <c:layout>
                <c:manualLayout>
                  <c:x val="-2.434369008654802E-2"/>
                  <c:y val="7.6112848118709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744-4DDC-9209-4ECC97B54DF2}"/>
                </c:ext>
              </c:extLst>
            </c:dLbl>
            <c:dLbl>
              <c:idx val="4"/>
              <c:layout>
                <c:manualLayout>
                  <c:x val="2.9262944109602684E-2"/>
                  <c:y val="-4.1406367285776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744-4DDC-9209-4ECC97B54DF2}"/>
                </c:ext>
              </c:extLst>
            </c:dLbl>
            <c:dLbl>
              <c:idx val="5"/>
              <c:layout>
                <c:manualLayout>
                  <c:x val="3.6612888355813666E-3"/>
                  <c:y val="-3.8175641601856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744-4DDC-9209-4ECC97B54DF2}"/>
                </c:ext>
              </c:extLst>
            </c:dLbl>
            <c:dLbl>
              <c:idx val="6"/>
              <c:layout>
                <c:manualLayout>
                  <c:x val="1.7378448104337536E-2"/>
                  <c:y val="8.3111591802852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744-4DDC-9209-4ECC97B54DF2}"/>
                </c:ext>
              </c:extLst>
            </c:dLbl>
            <c:dLbl>
              <c:idx val="7"/>
              <c:layout>
                <c:manualLayout>
                  <c:x val="-3.0987486970033375E-2"/>
                  <c:y val="0.11941647079820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1744-4DDC-9209-4ECC97B54DF2}"/>
                </c:ext>
              </c:extLst>
            </c:dLbl>
            <c:dLbl>
              <c:idx val="8"/>
              <c:delete val="1"/>
              <c:extLst>
                <c:ext xmlns:c15="http://schemas.microsoft.com/office/drawing/2012/chart" uri="{CE6537A1-D6FC-4f65-9D91-7224C49458BB}"/>
                <c:ext xmlns:c16="http://schemas.microsoft.com/office/drawing/2014/chart" uri="{C3380CC4-5D6E-409C-BE32-E72D297353CC}">
                  <c16:uniqueId val="{00000011-1744-4DDC-9209-4ECC97B54DF2}"/>
                </c:ext>
              </c:extLst>
            </c:dLbl>
            <c:dLbl>
              <c:idx val="9"/>
              <c:delete val="1"/>
              <c:extLst>
                <c:ext xmlns:c15="http://schemas.microsoft.com/office/drawing/2012/chart" uri="{CE6537A1-D6FC-4f65-9D91-7224C49458BB}"/>
                <c:ext xmlns:c16="http://schemas.microsoft.com/office/drawing/2014/chart" uri="{C3380CC4-5D6E-409C-BE32-E72D297353CC}">
                  <c16:uniqueId val="{00000012-1744-4DDC-9209-4ECC97B54DF2}"/>
                </c:ext>
              </c:extLst>
            </c:dLbl>
            <c:dLbl>
              <c:idx val="10"/>
              <c:delete val="1"/>
              <c:extLst>
                <c:ext xmlns:c15="http://schemas.microsoft.com/office/drawing/2012/chart" uri="{CE6537A1-D6FC-4f65-9D91-7224C49458BB}"/>
                <c:ext xmlns:c16="http://schemas.microsoft.com/office/drawing/2014/chart" uri="{C3380CC4-5D6E-409C-BE32-E72D297353CC}">
                  <c16:uniqueId val="{00000010-1744-4DDC-9209-4ECC97B54DF2}"/>
                </c:ext>
              </c:extLst>
            </c:dLbl>
            <c:dLbl>
              <c:idx val="11"/>
              <c:layout>
                <c:manualLayout>
                  <c:x val="0.17355769737637541"/>
                  <c:y val="-2.812000210083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1744-4DDC-9209-4ECC97B54DF2}"/>
                </c:ext>
              </c:extLst>
            </c:dLbl>
            <c:dLbl>
              <c:idx val="12"/>
              <c:layout>
                <c:manualLayout>
                  <c:x val="3.2325645195046292E-2"/>
                  <c:y val="1.47569472686633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1744-4DDC-9209-4ECC97B54DF2}"/>
                </c:ext>
              </c:extLst>
            </c:dLbl>
            <c:dLbl>
              <c:idx val="13"/>
              <c:delete val="1"/>
              <c:extLst>
                <c:ext xmlns:c15="http://schemas.microsoft.com/office/drawing/2012/chart" uri="{CE6537A1-D6FC-4f65-9D91-7224C49458BB}"/>
                <c:ext xmlns:c16="http://schemas.microsoft.com/office/drawing/2014/chart" uri="{C3380CC4-5D6E-409C-BE32-E72D297353CC}">
                  <c16:uniqueId val="{0000000F-1744-4DDC-9209-4ECC97B54D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Charts!$AD$137:$AD$150</c:f>
              <c:strCache>
                <c:ptCount val="14"/>
                <c:pt idx="0">
                  <c:v>Cash</c:v>
                </c:pt>
                <c:pt idx="1">
                  <c:v>International</c:v>
                </c:pt>
                <c:pt idx="3">
                  <c:v>US Total Market</c:v>
                </c:pt>
                <c:pt idx="4">
                  <c:v>US Large Cap</c:v>
                </c:pt>
                <c:pt idx="5">
                  <c:v>US Large Cap Growth</c:v>
                </c:pt>
                <c:pt idx="6">
                  <c:v>US Small Cap</c:v>
                </c:pt>
                <c:pt idx="7">
                  <c:v>US Dividend / Value</c:v>
                </c:pt>
                <c:pt idx="9">
                  <c:v>Other Single Stock</c:v>
                </c:pt>
                <c:pt idx="10">
                  <c:v>Crypto</c:v>
                </c:pt>
                <c:pt idx="11">
                  <c:v>Bonds</c:v>
                </c:pt>
                <c:pt idx="12">
                  <c:v>REITS, Commodities</c:v>
                </c:pt>
                <c:pt idx="13">
                  <c:v>Meta</c:v>
                </c:pt>
              </c:strCache>
            </c:strRef>
          </c:cat>
          <c:val>
            <c:numRef>
              <c:f>Charts!$AJ$137:$AJ$150</c:f>
              <c:numCache>
                <c:formatCode>"$"#,##0_);[Red]\("$"#,##0\)</c:formatCode>
                <c:ptCount val="14"/>
                <c:pt idx="0">
                  <c:v>0</c:v>
                </c:pt>
                <c:pt idx="1">
                  <c:v>199999.99999999997</c:v>
                </c:pt>
                <c:pt idx="3">
                  <c:v>149999.99999999997</c:v>
                </c:pt>
                <c:pt idx="4">
                  <c:v>249999.99999999997</c:v>
                </c:pt>
                <c:pt idx="5">
                  <c:v>149999.99999999997</c:v>
                </c:pt>
                <c:pt idx="6">
                  <c:v>100000</c:v>
                </c:pt>
                <c:pt idx="7">
                  <c:v>50000</c:v>
                </c:pt>
                <c:pt idx="9">
                  <c:v>0</c:v>
                </c:pt>
                <c:pt idx="10">
                  <c:v>0</c:v>
                </c:pt>
                <c:pt idx="11">
                  <c:v>0</c:v>
                </c:pt>
                <c:pt idx="12">
                  <c:v>100000</c:v>
                </c:pt>
                <c:pt idx="13">
                  <c:v>0</c:v>
                </c:pt>
              </c:numCache>
            </c:numRef>
          </c:val>
          <c:extLst>
            <c:ext xmlns:c16="http://schemas.microsoft.com/office/drawing/2014/chart" uri="{C3380CC4-5D6E-409C-BE32-E72D297353CC}">
              <c16:uniqueId val="{0000000E-1744-4DDC-9209-4ECC97B54DF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09336525428037"/>
          <c:y val="0.12722548226141092"/>
          <c:w val="0.32666830118396328"/>
          <c:h val="0.6768605024612729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9E-4E1E-8097-E06CB123A67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29E-4E1E-8097-E06CB123A6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9E-4E1E-8097-E06CB123A676}"/>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D29E-4E1E-8097-E06CB123A6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9E-4E1E-8097-E06CB123A676}"/>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D29E-4E1E-8097-E06CB123A676}"/>
              </c:ext>
            </c:extLst>
          </c:dPt>
          <c:dPt>
            <c:idx val="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D29E-4E1E-8097-E06CB123A676}"/>
              </c:ext>
            </c:extLst>
          </c:dPt>
          <c:dPt>
            <c:idx val="7"/>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F-D29E-4E1E-8097-E06CB123A67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29E-4E1E-8097-E06CB123A67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29E-4E1E-8097-E06CB123A67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29E-4E1E-8097-E06CB123A676}"/>
              </c:ext>
            </c:extLst>
          </c:dPt>
          <c:dPt>
            <c:idx val="11"/>
            <c:bubble3D val="0"/>
            <c:spPr>
              <a:solidFill>
                <a:srgbClr val="FFC000"/>
              </a:solidFill>
              <a:ln w="19050">
                <a:solidFill>
                  <a:schemeClr val="lt1"/>
                </a:solidFill>
              </a:ln>
              <a:effectLst/>
            </c:spPr>
            <c:extLst>
              <c:ext xmlns:c16="http://schemas.microsoft.com/office/drawing/2014/chart" uri="{C3380CC4-5D6E-409C-BE32-E72D297353CC}">
                <c16:uniqueId val="{00000017-D29E-4E1E-8097-E06CB123A67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29E-4E1E-8097-E06CB123A676}"/>
              </c:ext>
            </c:extLst>
          </c:dPt>
          <c:dPt>
            <c:idx val="1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B-D29E-4E1E-8097-E06CB123A676}"/>
              </c:ext>
            </c:extLst>
          </c:dPt>
          <c:dLbls>
            <c:dLbl>
              <c:idx val="0"/>
              <c:delete val="1"/>
              <c:extLst>
                <c:ext xmlns:c15="http://schemas.microsoft.com/office/drawing/2012/chart" uri="{CE6537A1-D6FC-4f65-9D91-7224C49458BB}"/>
                <c:ext xmlns:c16="http://schemas.microsoft.com/office/drawing/2014/chart" uri="{C3380CC4-5D6E-409C-BE32-E72D297353CC}">
                  <c16:uniqueId val="{00000001-D29E-4E1E-8097-E06CB123A676}"/>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D29E-4E1E-8097-E06CB123A676}"/>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7-D29E-4E1E-8097-E06CB123A676}"/>
                </c:ext>
              </c:extLst>
            </c:dLbl>
            <c:dLbl>
              <c:idx val="4"/>
              <c:layout>
                <c:manualLayout>
                  <c:x val="3.0620041336832725E-3"/>
                  <c:y val="-0.126702404864140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9E-4E1E-8097-E06CB123A676}"/>
                </c:ext>
              </c:extLst>
            </c:dLbl>
            <c:dLbl>
              <c:idx val="5"/>
              <c:layout>
                <c:manualLayout>
                  <c:x val="9.0856038289551799E-2"/>
                  <c:y val="-7.0032233206387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29E-4E1E-8097-E06CB123A676}"/>
                </c:ext>
              </c:extLst>
            </c:dLbl>
            <c:dLbl>
              <c:idx val="6"/>
              <c:layout>
                <c:manualLayout>
                  <c:x val="9.061310353058491E-2"/>
                  <c:y val="5.1883324256941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9E-4E1E-8097-E06CB123A676}"/>
                </c:ext>
              </c:extLst>
            </c:dLbl>
            <c:dLbl>
              <c:idx val="7"/>
              <c:layout>
                <c:manualLayout>
                  <c:x val="-9.9907306177484702E-4"/>
                  <c:y val="-6.75144847668862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9E-4E1E-8097-E06CB123A676}"/>
                </c:ext>
              </c:extLst>
            </c:dLbl>
            <c:dLbl>
              <c:idx val="8"/>
              <c:delete val="1"/>
              <c:extLst>
                <c:ext xmlns:c15="http://schemas.microsoft.com/office/drawing/2012/chart" uri="{CE6537A1-D6FC-4f65-9D91-7224C49458BB}">
                  <c15:layout>
                    <c:manualLayout>
                      <c:w val="6.79650639948607E-2"/>
                      <c:h val="0.16740676537013338"/>
                    </c:manualLayout>
                  </c15:layout>
                </c:ext>
                <c:ext xmlns:c16="http://schemas.microsoft.com/office/drawing/2014/chart" uri="{C3380CC4-5D6E-409C-BE32-E72D297353CC}">
                  <c16:uniqueId val="{00000011-D29E-4E1E-8097-E06CB123A676}"/>
                </c:ext>
              </c:extLst>
            </c:dLbl>
            <c:dLbl>
              <c:idx val="9"/>
              <c:delete val="1"/>
              <c:extLst>
                <c:ext xmlns:c15="http://schemas.microsoft.com/office/drawing/2012/chart" uri="{CE6537A1-D6FC-4f65-9D91-7224C49458BB}"/>
                <c:ext xmlns:c16="http://schemas.microsoft.com/office/drawing/2014/chart" uri="{C3380CC4-5D6E-409C-BE32-E72D297353CC}">
                  <c16:uniqueId val="{00000013-D29E-4E1E-8097-E06CB123A676}"/>
                </c:ext>
              </c:extLst>
            </c:dLbl>
            <c:dLbl>
              <c:idx val="10"/>
              <c:delete val="1"/>
              <c:extLst>
                <c:ext xmlns:c15="http://schemas.microsoft.com/office/drawing/2012/chart" uri="{CE6537A1-D6FC-4f65-9D91-7224C49458BB}"/>
                <c:ext xmlns:c16="http://schemas.microsoft.com/office/drawing/2014/chart" uri="{C3380CC4-5D6E-409C-BE32-E72D297353CC}">
                  <c16:uniqueId val="{00000015-D29E-4E1E-8097-E06CB123A676}"/>
                </c:ext>
              </c:extLst>
            </c:dLbl>
            <c:dLbl>
              <c:idx val="11"/>
              <c:layout>
                <c:manualLayout>
                  <c:x val="-2.8353450442252327E-2"/>
                  <c:y val="2.22237742120041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D29E-4E1E-8097-E06CB123A676}"/>
                </c:ext>
              </c:extLst>
            </c:dLbl>
            <c:dLbl>
              <c:idx val="12"/>
              <c:delete val="1"/>
              <c:extLst>
                <c:ext xmlns:c15="http://schemas.microsoft.com/office/drawing/2012/chart" uri="{CE6537A1-D6FC-4f65-9D91-7224C49458BB}"/>
                <c:ext xmlns:c16="http://schemas.microsoft.com/office/drawing/2014/chart" uri="{C3380CC4-5D6E-409C-BE32-E72D297353CC}">
                  <c16:uniqueId val="{00000019-D29E-4E1E-8097-E06CB123A676}"/>
                </c:ext>
              </c:extLst>
            </c:dLbl>
            <c:dLbl>
              <c:idx val="13"/>
              <c:layout>
                <c:manualLayout>
                  <c:x val="7.877971492580146E-4"/>
                  <c:y val="1.909024517378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D29E-4E1E-8097-E06CB123A6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Charts!$AD$137:$AD$150</c:f>
              <c:strCache>
                <c:ptCount val="14"/>
                <c:pt idx="0">
                  <c:v>Cash</c:v>
                </c:pt>
                <c:pt idx="1">
                  <c:v>International</c:v>
                </c:pt>
                <c:pt idx="3">
                  <c:v>US Total Market</c:v>
                </c:pt>
                <c:pt idx="4">
                  <c:v>US Large Cap</c:v>
                </c:pt>
                <c:pt idx="5">
                  <c:v>US Large Cap Growth</c:v>
                </c:pt>
                <c:pt idx="6">
                  <c:v>US Small Cap</c:v>
                </c:pt>
                <c:pt idx="7">
                  <c:v>US Dividend / Value</c:v>
                </c:pt>
                <c:pt idx="9">
                  <c:v>Other Single Stock</c:v>
                </c:pt>
                <c:pt idx="10">
                  <c:v>Crypto</c:v>
                </c:pt>
                <c:pt idx="11">
                  <c:v>Bonds</c:v>
                </c:pt>
                <c:pt idx="12">
                  <c:v>REITS, Commodities</c:v>
                </c:pt>
                <c:pt idx="13">
                  <c:v>Meta</c:v>
                </c:pt>
              </c:strCache>
            </c:strRef>
          </c:cat>
          <c:val>
            <c:numRef>
              <c:f>Charts!$AK$137:$AK$150</c:f>
              <c:numCache>
                <c:formatCode>"$"#,##0_);[Red]\("$"#,##0\)</c:formatCode>
                <c:ptCount val="14"/>
                <c:pt idx="0">
                  <c:v>0</c:v>
                </c:pt>
                <c:pt idx="1">
                  <c:v>116538.30066575775</c:v>
                </c:pt>
                <c:pt idx="3">
                  <c:v>150950</c:v>
                </c:pt>
                <c:pt idx="4">
                  <c:v>377375</c:v>
                </c:pt>
                <c:pt idx="5">
                  <c:v>150950</c:v>
                </c:pt>
                <c:pt idx="6">
                  <c:v>88500.265342411119</c:v>
                </c:pt>
                <c:pt idx="7">
                  <c:v>75475</c:v>
                </c:pt>
                <c:pt idx="9">
                  <c:v>0</c:v>
                </c:pt>
                <c:pt idx="10">
                  <c:v>9500</c:v>
                </c:pt>
                <c:pt idx="11">
                  <c:v>301900</c:v>
                </c:pt>
                <c:pt idx="12">
                  <c:v>0</c:v>
                </c:pt>
                <c:pt idx="13">
                  <c:v>238311.4339918312</c:v>
                </c:pt>
              </c:numCache>
            </c:numRef>
          </c:val>
          <c:extLst>
            <c:ext xmlns:c16="http://schemas.microsoft.com/office/drawing/2014/chart" uri="{C3380CC4-5D6E-409C-BE32-E72D297353CC}">
              <c16:uniqueId val="{0000001C-D29E-4E1E-8097-E06CB123A67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Immediate -</a:t>
            </a:r>
            <a:r>
              <a:rPr lang="en-US" baseline="0"/>
              <a:t> Balance</a:t>
            </a:r>
            <a:endParaRPr lang="en-US"/>
          </a:p>
        </c:rich>
      </c:tx>
      <c:overlay val="0"/>
      <c:spPr>
        <a:noFill/>
        <a:ln>
          <a:noFill/>
        </a:ln>
        <a:effectLst/>
      </c:spPr>
    </c:title>
    <c:autoTitleDeleted val="0"/>
    <c:plotArea>
      <c:layout/>
      <c:lineChart>
        <c:grouping val="standard"/>
        <c:varyColors val="0"/>
        <c:ser>
          <c:idx val="4"/>
          <c:order val="0"/>
          <c:marker>
            <c:symbol val="none"/>
          </c:marker>
          <c:val>
            <c:numRef>
              <c:f>'Cash Flow'!$BE$77:$BP$77</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11-A385-4350-987F-561894E7547E}"/>
            </c:ext>
          </c:extLst>
        </c:ser>
        <c:ser>
          <c:idx val="5"/>
          <c:order val="1"/>
          <c:marker>
            <c:symbol val="none"/>
          </c:marker>
          <c:val>
            <c:numRef>
              <c:f>'Cash Flow'!$BE$78:$BP$78</c:f>
              <c:numCache>
                <c:formatCode>"$"#,##0_);[Red]\("$"#,##0\)</c:formatCode>
                <c:ptCount val="12"/>
                <c:pt idx="0">
                  <c:v>20939.419999999991</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12-A385-4350-987F-561894E7547E}"/>
            </c:ext>
          </c:extLst>
        </c:ser>
        <c:ser>
          <c:idx val="6"/>
          <c:order val="2"/>
          <c:spPr>
            <a:ln w="28575" cap="rnd">
              <a:solidFill>
                <a:schemeClr val="accent1"/>
              </a:solidFill>
              <a:round/>
            </a:ln>
            <a:effectLst/>
          </c:spPr>
          <c:marker>
            <c:symbol val="none"/>
          </c:marker>
          <c:val>
            <c:numRef>
              <c:f>'Cash Flow'!$BE$77:$BP$77</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13-A385-4350-987F-561894E7547E}"/>
            </c:ext>
          </c:extLst>
        </c:ser>
        <c:ser>
          <c:idx val="7"/>
          <c:order val="3"/>
          <c:spPr>
            <a:ln w="28575" cap="rnd">
              <a:solidFill>
                <a:schemeClr val="accent2"/>
              </a:solidFill>
              <a:round/>
            </a:ln>
            <a:effectLst/>
          </c:spPr>
          <c:marker>
            <c:symbol val="none"/>
          </c:marker>
          <c:val>
            <c:numRef>
              <c:f>'Cash Flow'!$BE$78:$BP$78</c:f>
              <c:numCache>
                <c:formatCode>"$"#,##0_);[Red]\("$"#,##0\)</c:formatCode>
                <c:ptCount val="12"/>
                <c:pt idx="0">
                  <c:v>20939.419999999991</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14-A385-4350-987F-561894E7547E}"/>
            </c:ext>
          </c:extLst>
        </c:ser>
        <c:ser>
          <c:idx val="2"/>
          <c:order val="4"/>
          <c:marker>
            <c:symbol val="none"/>
          </c:marker>
          <c:val>
            <c:numRef>
              <c:f>'Cash Flow'!$BE$77:$BP$77</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0A-A385-4350-987F-561894E7547E}"/>
            </c:ext>
          </c:extLst>
        </c:ser>
        <c:ser>
          <c:idx val="3"/>
          <c:order val="5"/>
          <c:marker>
            <c:symbol val="none"/>
          </c:marker>
          <c:val>
            <c:numRef>
              <c:f>'Cash Flow'!$BE$78:$BP$78</c:f>
              <c:numCache>
                <c:formatCode>"$"#,##0_);[Red]\("$"#,##0\)</c:formatCode>
                <c:ptCount val="12"/>
                <c:pt idx="0">
                  <c:v>20939.419999999991</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0C-A385-4350-987F-561894E7547E}"/>
            </c:ext>
          </c:extLst>
        </c:ser>
        <c:ser>
          <c:idx val="0"/>
          <c:order val="6"/>
          <c:spPr>
            <a:ln w="28575" cap="rnd">
              <a:solidFill>
                <a:schemeClr val="accent1"/>
              </a:solidFill>
              <a:round/>
            </a:ln>
            <a:effectLst/>
          </c:spPr>
          <c:marker>
            <c:symbol val="none"/>
          </c:marker>
          <c:val>
            <c:numRef>
              <c:f>'Cash Flow'!$BE$77:$BP$77</c:f>
              <c:numCache>
                <c:formatCode>"$"#,##0_);[Red]\("$"#,##0\)</c:formatCode>
                <c:ptCount val="12"/>
                <c:pt idx="0">
                  <c:v>132050</c:v>
                </c:pt>
                <c:pt idx="1">
                  <c:v>132050</c:v>
                </c:pt>
                <c:pt idx="2">
                  <c:v>132050</c:v>
                </c:pt>
                <c:pt idx="3">
                  <c:v>132050</c:v>
                </c:pt>
                <c:pt idx="4">
                  <c:v>132050</c:v>
                </c:pt>
                <c:pt idx="5">
                  <c:v>132050</c:v>
                </c:pt>
                <c:pt idx="6">
                  <c:v>132050</c:v>
                </c:pt>
                <c:pt idx="7">
                  <c:v>132050</c:v>
                </c:pt>
                <c:pt idx="8">
                  <c:v>132050</c:v>
                </c:pt>
                <c:pt idx="9">
                  <c:v>132050</c:v>
                </c:pt>
                <c:pt idx="10">
                  <c:v>132050</c:v>
                </c:pt>
                <c:pt idx="11">
                  <c:v>179141.38798247313</c:v>
                </c:pt>
              </c:numCache>
            </c:numRef>
          </c:val>
          <c:smooth val="0"/>
          <c:extLst>
            <c:ext xmlns:c16="http://schemas.microsoft.com/office/drawing/2014/chart" uri="{C3380CC4-5D6E-409C-BE32-E72D297353CC}">
              <c16:uniqueId val="{0000000E-A385-4350-987F-561894E7547E}"/>
            </c:ext>
          </c:extLst>
        </c:ser>
        <c:ser>
          <c:idx val="1"/>
          <c:order val="7"/>
          <c:spPr>
            <a:ln w="28575" cap="rnd">
              <a:solidFill>
                <a:schemeClr val="accent2"/>
              </a:solidFill>
              <a:round/>
            </a:ln>
            <a:effectLst/>
          </c:spPr>
          <c:marker>
            <c:symbol val="none"/>
          </c:marker>
          <c:val>
            <c:numRef>
              <c:f>'Cash Flow'!$BE$78:$BP$78</c:f>
              <c:numCache>
                <c:formatCode>"$"#,##0_);[Red]\("$"#,##0\)</c:formatCode>
                <c:ptCount val="12"/>
                <c:pt idx="0">
                  <c:v>20939.419999999991</c:v>
                </c:pt>
                <c:pt idx="1">
                  <c:v>20939.419999999991</c:v>
                </c:pt>
                <c:pt idx="2">
                  <c:v>65939.42</c:v>
                </c:pt>
                <c:pt idx="3">
                  <c:v>24939.419999999991</c:v>
                </c:pt>
                <c:pt idx="4">
                  <c:v>21939.419999999991</c:v>
                </c:pt>
                <c:pt idx="5">
                  <c:v>40439.42</c:v>
                </c:pt>
                <c:pt idx="6">
                  <c:v>35939.419999999991</c:v>
                </c:pt>
                <c:pt idx="7">
                  <c:v>20939.419999999991</c:v>
                </c:pt>
                <c:pt idx="8">
                  <c:v>20939.419999999991</c:v>
                </c:pt>
                <c:pt idx="9">
                  <c:v>24939.419999999991</c:v>
                </c:pt>
                <c:pt idx="10">
                  <c:v>48392.38</c:v>
                </c:pt>
                <c:pt idx="11">
                  <c:v>38439.573602000273</c:v>
                </c:pt>
              </c:numCache>
            </c:numRef>
          </c:val>
          <c:smooth val="0"/>
          <c:extLst>
            <c:ext xmlns:c16="http://schemas.microsoft.com/office/drawing/2014/chart" uri="{C3380CC4-5D6E-409C-BE32-E72D297353CC}">
              <c16:uniqueId val="{00000010-A385-4350-987F-561894E7547E}"/>
            </c:ext>
          </c:extLst>
        </c:ser>
        <c:dLbls>
          <c:showLegendKey val="0"/>
          <c:showVal val="0"/>
          <c:showCatName val="0"/>
          <c:showSerName val="0"/>
          <c:showPercent val="0"/>
          <c:showBubbleSize val="0"/>
        </c:dLbls>
        <c:smooth val="0"/>
        <c:axId val="288808191"/>
        <c:axId val="288808671"/>
      </c:lineChart>
      <c:catAx>
        <c:axId val="2888081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08671"/>
        <c:crosses val="autoZero"/>
        <c:auto val="1"/>
        <c:lblAlgn val="ctr"/>
        <c:lblOffset val="100"/>
        <c:noMultiLvlLbl val="0"/>
      </c:catAx>
      <c:valAx>
        <c:axId val="288808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08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Short Term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'Cash Flow'!$BE$83:$BP$83</c:f>
              <c:numCache>
                <c:formatCode>"$"#,##0_);[Red]\("$"#,##0\)</c:formatCode>
                <c:ptCount val="12"/>
                <c:pt idx="0">
                  <c:v>220374.10963917524</c:v>
                </c:pt>
                <c:pt idx="1">
                  <c:v>218620.67921631158</c:v>
                </c:pt>
                <c:pt idx="2">
                  <c:v>216850.27825059669</c:v>
                </c:pt>
                <c:pt idx="3">
                  <c:v>170077.01689783303</c:v>
                </c:pt>
                <c:pt idx="4">
                  <c:v>164264.53791938722</c:v>
                </c:pt>
                <c:pt idx="5">
                  <c:v>161409.54660869442</c:v>
                </c:pt>
                <c:pt idx="6">
                  <c:v>140047.51906102506</c:v>
                </c:pt>
                <c:pt idx="7">
                  <c:v>123165.92245109769</c:v>
                </c:pt>
                <c:pt idx="8">
                  <c:v>121253.41545860383</c:v>
                </c:pt>
                <c:pt idx="9">
                  <c:v>119325.70094328896</c:v>
                </c:pt>
                <c:pt idx="10">
                  <c:v>113394.87187384866</c:v>
                </c:pt>
                <c:pt idx="11">
                  <c:v>253553.98822185921</c:v>
                </c:pt>
              </c:numCache>
            </c:numRef>
          </c:val>
          <c:smooth val="0"/>
          <c:extLst>
            <c:ext xmlns:c16="http://schemas.microsoft.com/office/drawing/2014/chart" uri="{C3380CC4-5D6E-409C-BE32-E72D297353CC}">
              <c16:uniqueId val="{00000000-E230-4A7F-9D51-EC0E877FCB47}"/>
            </c:ext>
          </c:extLst>
        </c:ser>
        <c:ser>
          <c:idx val="1"/>
          <c:order val="1"/>
          <c:spPr>
            <a:ln w="28575" cap="rnd">
              <a:solidFill>
                <a:schemeClr val="accent2"/>
              </a:solidFill>
              <a:round/>
            </a:ln>
            <a:effectLst/>
          </c:spPr>
          <c:marker>
            <c:symbol val="none"/>
          </c:marker>
          <c:val>
            <c:numRef>
              <c:f>'Cash Flow'!$BE$84:$BP$84</c:f>
              <c:numCache>
                <c:formatCode>"$"#,##0_);[Red]\("$"#,##0\)</c:formatCode>
                <c:ptCount val="12"/>
                <c:pt idx="0">
                  <c:v>109758.90360824735</c:v>
                </c:pt>
                <c:pt idx="1">
                  <c:v>107911.60373188833</c:v>
                </c:pt>
                <c:pt idx="2">
                  <c:v>61039.620875927125</c:v>
                </c:pt>
                <c:pt idx="3">
                  <c:v>55110.965867517254</c:v>
                </c:pt>
                <c:pt idx="4">
                  <c:v>52120.762385698668</c:v>
                </c:pt>
                <c:pt idx="5">
                  <c:v>30620.008298857145</c:v>
                </c:pt>
                <c:pt idx="6">
                  <c:v>13590.752737607094</c:v>
                </c:pt>
                <c:pt idx="7">
                  <c:v>11516.621863796852</c:v>
                </c:pt>
                <c:pt idx="8">
                  <c:v>9420.1503644346867</c:v>
                </c:pt>
                <c:pt idx="9">
                  <c:v>3318.7644618135928</c:v>
                </c:pt>
                <c:pt idx="10">
                  <c:v>0</c:v>
                </c:pt>
                <c:pt idx="11">
                  <c:v>129388.67625717539</c:v>
                </c:pt>
              </c:numCache>
            </c:numRef>
          </c:val>
          <c:smooth val="0"/>
          <c:extLst>
            <c:ext xmlns:c16="http://schemas.microsoft.com/office/drawing/2014/chart" uri="{C3380CC4-5D6E-409C-BE32-E72D297353CC}">
              <c16:uniqueId val="{00000001-E230-4A7F-9D51-EC0E877FCB47}"/>
            </c:ext>
          </c:extLst>
        </c:ser>
        <c:dLbls>
          <c:showLegendKey val="0"/>
          <c:showVal val="0"/>
          <c:showCatName val="0"/>
          <c:showSerName val="0"/>
          <c:showPercent val="0"/>
          <c:showBubbleSize val="0"/>
        </c:dLbls>
        <c:smooth val="0"/>
        <c:axId val="316159343"/>
        <c:axId val="316155023"/>
      </c:lineChart>
      <c:catAx>
        <c:axId val="3161593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55023"/>
        <c:crosses val="autoZero"/>
        <c:auto val="1"/>
        <c:lblAlgn val="ctr"/>
        <c:lblOffset val="100"/>
        <c:noMultiLvlLbl val="0"/>
      </c:catAx>
      <c:valAx>
        <c:axId val="316155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5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Medium Term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'Cash Flow'!$BE$89:$BP$89</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0-0686-4360-9306-6E92C4B23E4B}"/>
            </c:ext>
          </c:extLst>
        </c:ser>
        <c:ser>
          <c:idx val="1"/>
          <c:order val="1"/>
          <c:spPr>
            <a:ln w="28575" cap="rnd">
              <a:solidFill>
                <a:schemeClr val="accent2"/>
              </a:solidFill>
              <a:round/>
            </a:ln>
            <a:effectLst/>
          </c:spPr>
          <c:marker>
            <c:symbol val="none"/>
          </c:marker>
          <c:val>
            <c:numRef>
              <c:f>'Cash Flow'!$BE$90:$BP$90</c:f>
              <c:numCache>
                <c:formatCode>#,##0_);[Red]\(#,##0\)</c:formatCode>
                <c:ptCount val="12"/>
                <c:pt idx="0">
                  <c:v>135000</c:v>
                </c:pt>
                <c:pt idx="1">
                  <c:v>135288.8438</c:v>
                </c:pt>
                <c:pt idx="2">
                  <c:v>135578.30559999999</c:v>
                </c:pt>
                <c:pt idx="3">
                  <c:v>135868.3867</c:v>
                </c:pt>
                <c:pt idx="4">
                  <c:v>136159.08840000001</c:v>
                </c:pt>
                <c:pt idx="5">
                  <c:v>136450.41209999999</c:v>
                </c:pt>
                <c:pt idx="6">
                  <c:v>136742.3591</c:v>
                </c:pt>
                <c:pt idx="7">
                  <c:v>137034.9308</c:v>
                </c:pt>
                <c:pt idx="8">
                  <c:v>137328.12849999999</c:v>
                </c:pt>
                <c:pt idx="9">
                  <c:v>137621.9535</c:v>
                </c:pt>
                <c:pt idx="10">
                  <c:v>137916.40710000001</c:v>
                </c:pt>
                <c:pt idx="11">
                  <c:v>138211.49069999999</c:v>
                </c:pt>
              </c:numCache>
            </c:numRef>
          </c:val>
          <c:smooth val="0"/>
          <c:extLst>
            <c:ext xmlns:c16="http://schemas.microsoft.com/office/drawing/2014/chart" uri="{C3380CC4-5D6E-409C-BE32-E72D297353CC}">
              <c16:uniqueId val="{00000001-0686-4360-9306-6E92C4B23E4B}"/>
            </c:ext>
          </c:extLst>
        </c:ser>
        <c:dLbls>
          <c:showLegendKey val="0"/>
          <c:showVal val="0"/>
          <c:showCatName val="0"/>
          <c:showSerName val="0"/>
          <c:showPercent val="0"/>
          <c:showBubbleSize val="0"/>
        </c:dLbls>
        <c:smooth val="0"/>
        <c:axId val="316160303"/>
        <c:axId val="316161743"/>
      </c:lineChart>
      <c:catAx>
        <c:axId val="3161603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61743"/>
        <c:crosses val="autoZero"/>
        <c:auto val="1"/>
        <c:lblAlgn val="ctr"/>
        <c:lblOffset val="100"/>
        <c:noMultiLvlLbl val="0"/>
      </c:catAx>
      <c:valAx>
        <c:axId val="31616174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60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Long Term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'Cash Flow'!$BE$95:$BP$95</c:f>
              <c:numCache>
                <c:formatCode>#,##0_);[Red]\(#,##0\)</c:formatCode>
                <c:ptCount val="12"/>
                <c:pt idx="0">
                  <c:v>2524138.75</c:v>
                </c:pt>
                <c:pt idx="1">
                  <c:v>2538862.8927083332</c:v>
                </c:pt>
                <c:pt idx="2">
                  <c:v>2553672.926249132</c:v>
                </c:pt>
                <c:pt idx="3">
                  <c:v>2568569.351652252</c:v>
                </c:pt>
                <c:pt idx="4">
                  <c:v>2583552.6728702234</c:v>
                </c:pt>
                <c:pt idx="5">
                  <c:v>2598623.3967952998</c:v>
                </c:pt>
                <c:pt idx="6">
                  <c:v>2613782.0332766059</c:v>
                </c:pt>
                <c:pt idx="7">
                  <c:v>2629029.0951373861</c:v>
                </c:pt>
                <c:pt idx="8">
                  <c:v>2644365.0981923542</c:v>
                </c:pt>
                <c:pt idx="9">
                  <c:v>2659790.5612651431</c:v>
                </c:pt>
                <c:pt idx="10">
                  <c:v>2675306.0062058563</c:v>
                </c:pt>
                <c:pt idx="11">
                  <c:v>2690911.957908724</c:v>
                </c:pt>
              </c:numCache>
            </c:numRef>
          </c:val>
          <c:smooth val="0"/>
          <c:extLst>
            <c:ext xmlns:c16="http://schemas.microsoft.com/office/drawing/2014/chart" uri="{C3380CC4-5D6E-409C-BE32-E72D297353CC}">
              <c16:uniqueId val="{00000000-82A9-4BF4-8E6F-5232DB2B08BA}"/>
            </c:ext>
          </c:extLst>
        </c:ser>
        <c:ser>
          <c:idx val="1"/>
          <c:order val="1"/>
          <c:spPr>
            <a:ln w="28575" cap="rnd">
              <a:solidFill>
                <a:schemeClr val="accent2"/>
              </a:solidFill>
              <a:round/>
            </a:ln>
            <a:effectLst/>
          </c:spPr>
          <c:marker>
            <c:symbol val="none"/>
          </c:marker>
          <c:val>
            <c:numRef>
              <c:f>'Cash Flow'!$BE$96:$BP$96</c:f>
              <c:numCache>
                <c:formatCode>#,##0_);[Red]\(#,##0\)</c:formatCode>
                <c:ptCount val="12"/>
                <c:pt idx="0">
                  <c:v>2524138.75</c:v>
                </c:pt>
                <c:pt idx="1">
                  <c:v>2538862.8927083332</c:v>
                </c:pt>
                <c:pt idx="2">
                  <c:v>2553672.926249132</c:v>
                </c:pt>
                <c:pt idx="3">
                  <c:v>2568569.351652252</c:v>
                </c:pt>
                <c:pt idx="4">
                  <c:v>2583552.6728702234</c:v>
                </c:pt>
                <c:pt idx="5">
                  <c:v>2598623.3967952998</c:v>
                </c:pt>
                <c:pt idx="6">
                  <c:v>2613782.0332766059</c:v>
                </c:pt>
                <c:pt idx="7">
                  <c:v>2629029.0951373861</c:v>
                </c:pt>
                <c:pt idx="8">
                  <c:v>2644365.0981923542</c:v>
                </c:pt>
                <c:pt idx="9">
                  <c:v>2659790.5612651431</c:v>
                </c:pt>
                <c:pt idx="10">
                  <c:v>2675306.0062058563</c:v>
                </c:pt>
                <c:pt idx="11">
                  <c:v>2690911.957908724</c:v>
                </c:pt>
              </c:numCache>
            </c:numRef>
          </c:val>
          <c:smooth val="0"/>
          <c:extLst>
            <c:ext xmlns:c16="http://schemas.microsoft.com/office/drawing/2014/chart" uri="{C3380CC4-5D6E-409C-BE32-E72D297353CC}">
              <c16:uniqueId val="{00000001-82A9-4BF4-8E6F-5232DB2B08BA}"/>
            </c:ext>
          </c:extLst>
        </c:ser>
        <c:dLbls>
          <c:showLegendKey val="0"/>
          <c:showVal val="0"/>
          <c:showCatName val="0"/>
          <c:showSerName val="0"/>
          <c:showPercent val="0"/>
          <c:showBubbleSize val="0"/>
        </c:dLbls>
        <c:smooth val="0"/>
        <c:axId val="1669045263"/>
        <c:axId val="258321343"/>
      </c:lineChart>
      <c:catAx>
        <c:axId val="16690452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321343"/>
        <c:crosses val="autoZero"/>
        <c:auto val="1"/>
        <c:lblAlgn val="ctr"/>
        <c:lblOffset val="100"/>
        <c:noMultiLvlLbl val="0"/>
      </c:catAx>
      <c:valAx>
        <c:axId val="25832134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04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sunburst" uniqueId="{373EF229-9A47-454E-84D3-990083B24CE8}">
          <cx:dataLabels pos="ctr">
            <cx:visibility seriesName="0" categoryName="1" value="0"/>
            <cx:separator>, </cx:separator>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2.xml"/><Relationship Id="rId13" Type="http://schemas.microsoft.com/office/2014/relationships/chartEx" Target="../charts/chartEx1.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xdr:col>
      <xdr:colOff>638996</xdr:colOff>
      <xdr:row>0</xdr:row>
      <xdr:rowOff>0</xdr:rowOff>
    </xdr:from>
    <xdr:to>
      <xdr:col>1</xdr:col>
      <xdr:colOff>855307</xdr:colOff>
      <xdr:row>0</xdr:row>
      <xdr:rowOff>306188</xdr:rowOff>
    </xdr:to>
    <xdr:sp macro="" textlink="">
      <xdr:nvSpPr>
        <xdr:cNvPr id="3" name="Arrow: Down 2">
          <a:extLst>
            <a:ext uri="{FF2B5EF4-FFF2-40B4-BE49-F238E27FC236}">
              <a16:creationId xmlns:a16="http://schemas.microsoft.com/office/drawing/2014/main" id="{0BE5121B-DF31-DABD-B918-39FA3AB68453}"/>
            </a:ext>
          </a:extLst>
        </xdr:cNvPr>
        <xdr:cNvSpPr/>
      </xdr:nvSpPr>
      <xdr:spPr>
        <a:xfrm rot="10800000">
          <a:off x="5401496" y="0"/>
          <a:ext cx="216311" cy="306188"/>
        </a:xfrm>
        <a:prstGeom prst="downArrow">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641539</xdr:colOff>
      <xdr:row>0</xdr:row>
      <xdr:rowOff>416485</xdr:rowOff>
    </xdr:from>
    <xdr:to>
      <xdr:col>1</xdr:col>
      <xdr:colOff>857850</xdr:colOff>
      <xdr:row>1</xdr:row>
      <xdr:rowOff>289379</xdr:rowOff>
    </xdr:to>
    <xdr:sp macro="" textlink="">
      <xdr:nvSpPr>
        <xdr:cNvPr id="4" name="Arrow: Down 3">
          <a:extLst>
            <a:ext uri="{FF2B5EF4-FFF2-40B4-BE49-F238E27FC236}">
              <a16:creationId xmlns:a16="http://schemas.microsoft.com/office/drawing/2014/main" id="{01E6DC5E-064B-9DD0-16BE-6FFEF11CBF78}"/>
            </a:ext>
          </a:extLst>
        </xdr:cNvPr>
        <xdr:cNvSpPr/>
      </xdr:nvSpPr>
      <xdr:spPr>
        <a:xfrm rot="10800000">
          <a:off x="5407774" y="416485"/>
          <a:ext cx="216311" cy="306188"/>
        </a:xfrm>
        <a:prstGeom prst="downArrow">
          <a:avLst/>
        </a:prstGeom>
        <a:solidFill>
          <a:schemeClr val="accent6"/>
        </a:solidFill>
        <a:ln>
          <a:noFill/>
        </a:ln>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697034</xdr:colOff>
      <xdr:row>3</xdr:row>
      <xdr:rowOff>414216</xdr:rowOff>
    </xdr:from>
    <xdr:to>
      <xdr:col>1</xdr:col>
      <xdr:colOff>913345</xdr:colOff>
      <xdr:row>4</xdr:row>
      <xdr:rowOff>290557</xdr:rowOff>
    </xdr:to>
    <xdr:sp macro="" textlink="">
      <xdr:nvSpPr>
        <xdr:cNvPr id="6" name="Arrow: Down 5">
          <a:extLst>
            <a:ext uri="{FF2B5EF4-FFF2-40B4-BE49-F238E27FC236}">
              <a16:creationId xmlns:a16="http://schemas.microsoft.com/office/drawing/2014/main" id="{12264D76-27A8-EA31-4F52-82912820CE35}"/>
            </a:ext>
          </a:extLst>
        </xdr:cNvPr>
        <xdr:cNvSpPr/>
      </xdr:nvSpPr>
      <xdr:spPr>
        <a:xfrm rot="10800000">
          <a:off x="5459534" y="1703754"/>
          <a:ext cx="216311" cy="306188"/>
        </a:xfrm>
        <a:prstGeom prst="downArrow">
          <a:avLst/>
        </a:prstGeom>
        <a:solidFill>
          <a:srgbClr val="C00000"/>
        </a:solidFill>
        <a:ln>
          <a:noFill/>
        </a:ln>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581757</xdr:colOff>
      <xdr:row>2</xdr:row>
      <xdr:rowOff>41275</xdr:rowOff>
    </xdr:from>
    <xdr:to>
      <xdr:col>1</xdr:col>
      <xdr:colOff>981807</xdr:colOff>
      <xdr:row>2</xdr:row>
      <xdr:rowOff>336550</xdr:rowOff>
    </xdr:to>
    <xdr:sp macro="" textlink="">
      <xdr:nvSpPr>
        <xdr:cNvPr id="9" name="Minus Sign 8">
          <a:extLst>
            <a:ext uri="{FF2B5EF4-FFF2-40B4-BE49-F238E27FC236}">
              <a16:creationId xmlns:a16="http://schemas.microsoft.com/office/drawing/2014/main" id="{99803413-2C83-5298-01CC-158AA79A42B5}"/>
            </a:ext>
          </a:extLst>
        </xdr:cNvPr>
        <xdr:cNvSpPr/>
      </xdr:nvSpPr>
      <xdr:spPr>
        <a:xfrm>
          <a:off x="5344257" y="900967"/>
          <a:ext cx="400050" cy="295275"/>
        </a:xfrm>
        <a:prstGeom prst="mathMinus">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601540</xdr:colOff>
      <xdr:row>3</xdr:row>
      <xdr:rowOff>70583</xdr:rowOff>
    </xdr:from>
    <xdr:to>
      <xdr:col>1</xdr:col>
      <xdr:colOff>1001590</xdr:colOff>
      <xdr:row>3</xdr:row>
      <xdr:rowOff>365858</xdr:rowOff>
    </xdr:to>
    <xdr:sp macro="" textlink="">
      <xdr:nvSpPr>
        <xdr:cNvPr id="10" name="Minus Sign 9">
          <a:extLst>
            <a:ext uri="{FF2B5EF4-FFF2-40B4-BE49-F238E27FC236}">
              <a16:creationId xmlns:a16="http://schemas.microsoft.com/office/drawing/2014/main" id="{D3BBB3FD-9C09-4531-B76F-7883BDB6949C}"/>
            </a:ext>
          </a:extLst>
        </xdr:cNvPr>
        <xdr:cNvSpPr/>
      </xdr:nvSpPr>
      <xdr:spPr>
        <a:xfrm>
          <a:off x="5364040" y="1360121"/>
          <a:ext cx="400050" cy="295275"/>
        </a:xfrm>
        <a:prstGeom prst="mathMinus">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662842</xdr:colOff>
      <xdr:row>6</xdr:row>
      <xdr:rowOff>448407</xdr:rowOff>
    </xdr:from>
    <xdr:to>
      <xdr:col>1</xdr:col>
      <xdr:colOff>879153</xdr:colOff>
      <xdr:row>7</xdr:row>
      <xdr:rowOff>285672</xdr:rowOff>
    </xdr:to>
    <xdr:sp macro="" textlink="">
      <xdr:nvSpPr>
        <xdr:cNvPr id="13" name="Arrow: Down 12">
          <a:extLst>
            <a:ext uri="{FF2B5EF4-FFF2-40B4-BE49-F238E27FC236}">
              <a16:creationId xmlns:a16="http://schemas.microsoft.com/office/drawing/2014/main" id="{862A7D6E-1A48-434F-ACBC-B7DE26455785}"/>
            </a:ext>
          </a:extLst>
        </xdr:cNvPr>
        <xdr:cNvSpPr/>
      </xdr:nvSpPr>
      <xdr:spPr>
        <a:xfrm rot="10800000">
          <a:off x="5425342" y="3110522"/>
          <a:ext cx="216311" cy="306188"/>
        </a:xfrm>
        <a:prstGeom prst="downArrow">
          <a:avLst/>
        </a:prstGeom>
        <a:solidFill>
          <a:srgbClr val="C00000"/>
        </a:solidFill>
        <a:ln>
          <a:noFill/>
        </a:ln>
      </xdr:spPr>
      <xdr:style>
        <a:lnRef idx="2">
          <a:schemeClr val="accent6">
            <a:shade val="15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3</xdr:row>
      <xdr:rowOff>129108</xdr:rowOff>
    </xdr:from>
    <xdr:to>
      <xdr:col>2</xdr:col>
      <xdr:colOff>819417</xdr:colOff>
      <xdr:row>3</xdr:row>
      <xdr:rowOff>539195</xdr:rowOff>
    </xdr:to>
    <xdr:sp macro="" textlink="">
      <xdr:nvSpPr>
        <xdr:cNvPr id="7" name="Rectangle 6">
          <a:extLst>
            <a:ext uri="{FF2B5EF4-FFF2-40B4-BE49-F238E27FC236}">
              <a16:creationId xmlns:a16="http://schemas.microsoft.com/office/drawing/2014/main" id="{AB2DA743-1307-414A-BD4B-5092D774CAB4}"/>
            </a:ext>
          </a:extLst>
        </xdr:cNvPr>
        <xdr:cNvSpPr/>
      </xdr:nvSpPr>
      <xdr:spPr>
        <a:xfrm>
          <a:off x="2501900" y="148165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450850</xdr:colOff>
      <xdr:row>4</xdr:row>
      <xdr:rowOff>129108</xdr:rowOff>
    </xdr:from>
    <xdr:to>
      <xdr:col>2</xdr:col>
      <xdr:colOff>794017</xdr:colOff>
      <xdr:row>4</xdr:row>
      <xdr:rowOff>539195</xdr:rowOff>
    </xdr:to>
    <xdr:sp macro="" textlink="">
      <xdr:nvSpPr>
        <xdr:cNvPr id="9" name="Rectangle 8">
          <a:extLst>
            <a:ext uri="{FF2B5EF4-FFF2-40B4-BE49-F238E27FC236}">
              <a16:creationId xmlns:a16="http://schemas.microsoft.com/office/drawing/2014/main" id="{004D1880-3D61-422F-83CF-92A7C4238E94}"/>
            </a:ext>
          </a:extLst>
        </xdr:cNvPr>
        <xdr:cNvSpPr/>
      </xdr:nvSpPr>
      <xdr:spPr>
        <a:xfrm>
          <a:off x="2476500" y="225000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450850</xdr:colOff>
      <xdr:row>5</xdr:row>
      <xdr:rowOff>186258</xdr:rowOff>
    </xdr:from>
    <xdr:to>
      <xdr:col>2</xdr:col>
      <xdr:colOff>794017</xdr:colOff>
      <xdr:row>5</xdr:row>
      <xdr:rowOff>596345</xdr:rowOff>
    </xdr:to>
    <xdr:sp macro="" textlink="">
      <xdr:nvSpPr>
        <xdr:cNvPr id="10" name="Rectangle 9">
          <a:extLst>
            <a:ext uri="{FF2B5EF4-FFF2-40B4-BE49-F238E27FC236}">
              <a16:creationId xmlns:a16="http://schemas.microsoft.com/office/drawing/2014/main" id="{343C8B23-2736-4F4B-8BBF-8463E4F04364}"/>
            </a:ext>
          </a:extLst>
        </xdr:cNvPr>
        <xdr:cNvSpPr/>
      </xdr:nvSpPr>
      <xdr:spPr>
        <a:xfrm>
          <a:off x="2476500" y="307550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493464</xdr:colOff>
      <xdr:row>5</xdr:row>
      <xdr:rowOff>165100</xdr:rowOff>
    </xdr:from>
    <xdr:to>
      <xdr:col>2</xdr:col>
      <xdr:colOff>903553</xdr:colOff>
      <xdr:row>5</xdr:row>
      <xdr:rowOff>575189</xdr:rowOff>
    </xdr:to>
    <xdr:pic>
      <xdr:nvPicPr>
        <xdr:cNvPr id="11" name="Graphic 10" descr="Checkmark with solid fill">
          <a:extLst>
            <a:ext uri="{FF2B5EF4-FFF2-40B4-BE49-F238E27FC236}">
              <a16:creationId xmlns:a16="http://schemas.microsoft.com/office/drawing/2014/main" id="{3A6AE9BC-5137-4054-9F20-E9EA1779C3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9114" y="3054350"/>
          <a:ext cx="410089" cy="410089"/>
        </a:xfrm>
        <a:prstGeom prst="rect">
          <a:avLst/>
        </a:prstGeom>
      </xdr:spPr>
    </xdr:pic>
    <xdr:clientData/>
  </xdr:twoCellAnchor>
  <xdr:twoCellAnchor>
    <xdr:from>
      <xdr:col>2</xdr:col>
      <xdr:colOff>463550</xdr:colOff>
      <xdr:row>8</xdr:row>
      <xdr:rowOff>173558</xdr:rowOff>
    </xdr:from>
    <xdr:to>
      <xdr:col>2</xdr:col>
      <xdr:colOff>806717</xdr:colOff>
      <xdr:row>8</xdr:row>
      <xdr:rowOff>583645</xdr:rowOff>
    </xdr:to>
    <xdr:sp macro="" textlink="">
      <xdr:nvSpPr>
        <xdr:cNvPr id="12" name="Rectangle 11">
          <a:extLst>
            <a:ext uri="{FF2B5EF4-FFF2-40B4-BE49-F238E27FC236}">
              <a16:creationId xmlns:a16="http://schemas.microsoft.com/office/drawing/2014/main" id="{B7683729-120D-4BD0-8F22-7FEC2E77B2E2}"/>
            </a:ext>
          </a:extLst>
        </xdr:cNvPr>
        <xdr:cNvSpPr/>
      </xdr:nvSpPr>
      <xdr:spPr>
        <a:xfrm>
          <a:off x="2489200" y="383115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506167</xdr:colOff>
      <xdr:row>11</xdr:row>
      <xdr:rowOff>145141</xdr:rowOff>
    </xdr:from>
    <xdr:to>
      <xdr:col>2</xdr:col>
      <xdr:colOff>916256</xdr:colOff>
      <xdr:row>11</xdr:row>
      <xdr:rowOff>555230</xdr:rowOff>
    </xdr:to>
    <xdr:pic>
      <xdr:nvPicPr>
        <xdr:cNvPr id="13" name="Graphic 10" descr="Checkmark with solid fill">
          <a:extLst>
            <a:ext uri="{FF2B5EF4-FFF2-40B4-BE49-F238E27FC236}">
              <a16:creationId xmlns:a16="http://schemas.microsoft.com/office/drawing/2014/main" id="{2EE27A5B-A884-471E-983A-8C70D554FB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29096" y="2276927"/>
          <a:ext cx="410089" cy="410089"/>
        </a:xfrm>
        <a:prstGeom prst="rect">
          <a:avLst/>
        </a:prstGeom>
      </xdr:spPr>
    </xdr:pic>
    <xdr:clientData/>
  </xdr:twoCellAnchor>
  <xdr:twoCellAnchor>
    <xdr:from>
      <xdr:col>2</xdr:col>
      <xdr:colOff>463550</xdr:colOff>
      <xdr:row>9</xdr:row>
      <xdr:rowOff>173558</xdr:rowOff>
    </xdr:from>
    <xdr:to>
      <xdr:col>2</xdr:col>
      <xdr:colOff>806717</xdr:colOff>
      <xdr:row>9</xdr:row>
      <xdr:rowOff>583645</xdr:rowOff>
    </xdr:to>
    <xdr:sp macro="" textlink="">
      <xdr:nvSpPr>
        <xdr:cNvPr id="15" name="Rectangle 14">
          <a:extLst>
            <a:ext uri="{FF2B5EF4-FFF2-40B4-BE49-F238E27FC236}">
              <a16:creationId xmlns:a16="http://schemas.microsoft.com/office/drawing/2014/main" id="{DB07D1F0-05CF-4A29-97E5-114352BADAA8}"/>
            </a:ext>
          </a:extLst>
        </xdr:cNvPr>
        <xdr:cNvSpPr/>
      </xdr:nvSpPr>
      <xdr:spPr>
        <a:xfrm>
          <a:off x="2489200" y="459950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463550</xdr:colOff>
      <xdr:row>10</xdr:row>
      <xdr:rowOff>173558</xdr:rowOff>
    </xdr:from>
    <xdr:to>
      <xdr:col>2</xdr:col>
      <xdr:colOff>806717</xdr:colOff>
      <xdr:row>10</xdr:row>
      <xdr:rowOff>583645</xdr:rowOff>
    </xdr:to>
    <xdr:sp macro="" textlink="">
      <xdr:nvSpPr>
        <xdr:cNvPr id="18" name="Rectangle 17">
          <a:extLst>
            <a:ext uri="{FF2B5EF4-FFF2-40B4-BE49-F238E27FC236}">
              <a16:creationId xmlns:a16="http://schemas.microsoft.com/office/drawing/2014/main" id="{AD0F2BCA-8F95-4522-A820-FABA20FC4811}"/>
            </a:ext>
          </a:extLst>
        </xdr:cNvPr>
        <xdr:cNvSpPr/>
      </xdr:nvSpPr>
      <xdr:spPr>
        <a:xfrm>
          <a:off x="2489200" y="536785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463550</xdr:colOff>
      <xdr:row>12</xdr:row>
      <xdr:rowOff>173558</xdr:rowOff>
    </xdr:from>
    <xdr:to>
      <xdr:col>2</xdr:col>
      <xdr:colOff>806717</xdr:colOff>
      <xdr:row>12</xdr:row>
      <xdr:rowOff>583645</xdr:rowOff>
    </xdr:to>
    <xdr:sp macro="" textlink="">
      <xdr:nvSpPr>
        <xdr:cNvPr id="21" name="Rectangle 20">
          <a:extLst>
            <a:ext uri="{FF2B5EF4-FFF2-40B4-BE49-F238E27FC236}">
              <a16:creationId xmlns:a16="http://schemas.microsoft.com/office/drawing/2014/main" id="{6C422D39-55E6-4D37-90E5-6D2F823CEE08}"/>
            </a:ext>
          </a:extLst>
        </xdr:cNvPr>
        <xdr:cNvSpPr/>
      </xdr:nvSpPr>
      <xdr:spPr>
        <a:xfrm>
          <a:off x="2489200" y="6136208"/>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463550</xdr:colOff>
      <xdr:row>10</xdr:row>
      <xdr:rowOff>173558</xdr:rowOff>
    </xdr:from>
    <xdr:to>
      <xdr:col>2</xdr:col>
      <xdr:colOff>806717</xdr:colOff>
      <xdr:row>10</xdr:row>
      <xdr:rowOff>583645</xdr:rowOff>
    </xdr:to>
    <xdr:sp macro="" textlink="">
      <xdr:nvSpPr>
        <xdr:cNvPr id="26" name="Rectangle 25">
          <a:extLst>
            <a:ext uri="{FF2B5EF4-FFF2-40B4-BE49-F238E27FC236}">
              <a16:creationId xmlns:a16="http://schemas.microsoft.com/office/drawing/2014/main" id="{1F34F1C6-56E7-4E2B-8220-9B471A2AE94D}"/>
            </a:ext>
          </a:extLst>
        </xdr:cNvPr>
        <xdr:cNvSpPr/>
      </xdr:nvSpPr>
      <xdr:spPr>
        <a:xfrm>
          <a:off x="2486479" y="6931772"/>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463550</xdr:colOff>
      <xdr:row>11</xdr:row>
      <xdr:rowOff>173558</xdr:rowOff>
    </xdr:from>
    <xdr:to>
      <xdr:col>2</xdr:col>
      <xdr:colOff>806717</xdr:colOff>
      <xdr:row>11</xdr:row>
      <xdr:rowOff>583645</xdr:rowOff>
    </xdr:to>
    <xdr:sp macro="" textlink="">
      <xdr:nvSpPr>
        <xdr:cNvPr id="29" name="Rectangle 28">
          <a:extLst>
            <a:ext uri="{FF2B5EF4-FFF2-40B4-BE49-F238E27FC236}">
              <a16:creationId xmlns:a16="http://schemas.microsoft.com/office/drawing/2014/main" id="{33AF6CC2-3640-4D94-AA3B-744A3B714D99}"/>
            </a:ext>
          </a:extLst>
        </xdr:cNvPr>
        <xdr:cNvSpPr/>
      </xdr:nvSpPr>
      <xdr:spPr>
        <a:xfrm>
          <a:off x="2486479" y="2305344"/>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462643</xdr:colOff>
      <xdr:row>6</xdr:row>
      <xdr:rowOff>172357</xdr:rowOff>
    </xdr:from>
    <xdr:to>
      <xdr:col>2</xdr:col>
      <xdr:colOff>805810</xdr:colOff>
      <xdr:row>6</xdr:row>
      <xdr:rowOff>582444</xdr:rowOff>
    </xdr:to>
    <xdr:sp macro="" textlink="">
      <xdr:nvSpPr>
        <xdr:cNvPr id="50" name="Rectangle 49">
          <a:extLst>
            <a:ext uri="{FF2B5EF4-FFF2-40B4-BE49-F238E27FC236}">
              <a16:creationId xmlns:a16="http://schemas.microsoft.com/office/drawing/2014/main" id="{06EA2308-8D1C-45F7-8D12-48204A0182D8}"/>
            </a:ext>
          </a:extLst>
        </xdr:cNvPr>
        <xdr:cNvSpPr/>
      </xdr:nvSpPr>
      <xdr:spPr>
        <a:xfrm>
          <a:off x="2485572" y="3846286"/>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471715</xdr:colOff>
      <xdr:row>7</xdr:row>
      <xdr:rowOff>163286</xdr:rowOff>
    </xdr:from>
    <xdr:to>
      <xdr:col>2</xdr:col>
      <xdr:colOff>814882</xdr:colOff>
      <xdr:row>7</xdr:row>
      <xdr:rowOff>573373</xdr:rowOff>
    </xdr:to>
    <xdr:sp macro="" textlink="">
      <xdr:nvSpPr>
        <xdr:cNvPr id="51" name="Rectangle 50">
          <a:extLst>
            <a:ext uri="{FF2B5EF4-FFF2-40B4-BE49-F238E27FC236}">
              <a16:creationId xmlns:a16="http://schemas.microsoft.com/office/drawing/2014/main" id="{F88CD4BD-6C61-4B3E-8771-6FB8A9632E09}"/>
            </a:ext>
          </a:extLst>
        </xdr:cNvPr>
        <xdr:cNvSpPr/>
      </xdr:nvSpPr>
      <xdr:spPr>
        <a:xfrm>
          <a:off x="2494644" y="4608286"/>
          <a:ext cx="343167" cy="410087"/>
        </a:xfrm>
        <a:prstGeom prst="rect">
          <a:avLst/>
        </a:prstGeom>
        <a:noFill/>
        <a:ln w="2540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444500</xdr:colOff>
      <xdr:row>5</xdr:row>
      <xdr:rowOff>108858</xdr:rowOff>
    </xdr:from>
    <xdr:to>
      <xdr:col>1</xdr:col>
      <xdr:colOff>993140</xdr:colOff>
      <xdr:row>5</xdr:row>
      <xdr:rowOff>657498</xdr:rowOff>
    </xdr:to>
    <xdr:sp macro="" textlink="">
      <xdr:nvSpPr>
        <xdr:cNvPr id="2" name="Oval 1">
          <a:extLst>
            <a:ext uri="{FF2B5EF4-FFF2-40B4-BE49-F238E27FC236}">
              <a16:creationId xmlns:a16="http://schemas.microsoft.com/office/drawing/2014/main" id="{7F09C762-14B7-4E01-BC8E-82EF46E5B0E0}"/>
            </a:ext>
          </a:extLst>
        </xdr:cNvPr>
        <xdr:cNvSpPr/>
      </xdr:nvSpPr>
      <xdr:spPr>
        <a:xfrm>
          <a:off x="1052286" y="1469572"/>
          <a:ext cx="548640" cy="548640"/>
        </a:xfrm>
        <a:prstGeom prst="ellipse">
          <a:avLst/>
        </a:prstGeom>
        <a:solidFill>
          <a:srgbClr val="5482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r>
            <a:rPr lang="en-US" sz="1400">
              <a:solidFill>
                <a:schemeClr val="bg1"/>
              </a:solidFill>
            </a:rPr>
            <a:t>1</a:t>
          </a:r>
        </a:p>
      </xdr:txBody>
    </xdr:sp>
    <xdr:clientData/>
  </xdr:twoCellAnchor>
  <xdr:twoCellAnchor>
    <xdr:from>
      <xdr:col>1</xdr:col>
      <xdr:colOff>444500</xdr:colOff>
      <xdr:row>11</xdr:row>
      <xdr:rowOff>77108</xdr:rowOff>
    </xdr:from>
    <xdr:to>
      <xdr:col>1</xdr:col>
      <xdr:colOff>993140</xdr:colOff>
      <xdr:row>11</xdr:row>
      <xdr:rowOff>625748</xdr:rowOff>
    </xdr:to>
    <xdr:sp macro="" textlink="">
      <xdr:nvSpPr>
        <xdr:cNvPr id="3" name="Oval 2">
          <a:extLst>
            <a:ext uri="{FF2B5EF4-FFF2-40B4-BE49-F238E27FC236}">
              <a16:creationId xmlns:a16="http://schemas.microsoft.com/office/drawing/2014/main" id="{79B2F1E6-32C7-4C80-82E2-9CED74448511}"/>
            </a:ext>
          </a:extLst>
        </xdr:cNvPr>
        <xdr:cNvSpPr/>
      </xdr:nvSpPr>
      <xdr:spPr>
        <a:xfrm>
          <a:off x="1052286" y="2208894"/>
          <a:ext cx="548640" cy="548640"/>
        </a:xfrm>
        <a:prstGeom prst="ellipse">
          <a:avLst/>
        </a:prstGeom>
        <a:solidFill>
          <a:srgbClr val="5482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r>
            <a:rPr lang="en-US" sz="1400">
              <a:solidFill>
                <a:schemeClr val="bg1"/>
              </a:solidFill>
            </a:rPr>
            <a:t>2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241726</xdr:colOff>
      <xdr:row>37</xdr:row>
      <xdr:rowOff>47625</xdr:rowOff>
    </xdr:from>
    <xdr:to>
      <xdr:col>10</xdr:col>
      <xdr:colOff>91055</xdr:colOff>
      <xdr:row>54</xdr:row>
      <xdr:rowOff>129268</xdr:rowOff>
    </xdr:to>
    <xdr:graphicFrame macro="">
      <xdr:nvGraphicFramePr>
        <xdr:cNvPr id="4" name="Chart 3">
          <a:extLst>
            <a:ext uri="{FF2B5EF4-FFF2-40B4-BE49-F238E27FC236}">
              <a16:creationId xmlns:a16="http://schemas.microsoft.com/office/drawing/2014/main" id="{049769A3-1CCF-8B7A-FE9B-317F5B40C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530412</xdr:colOff>
      <xdr:row>13</xdr:row>
      <xdr:rowOff>105708</xdr:rowOff>
    </xdr:from>
    <xdr:to>
      <xdr:col>20</xdr:col>
      <xdr:colOff>98985</xdr:colOff>
      <xdr:row>31</xdr:row>
      <xdr:rowOff>162859</xdr:rowOff>
    </xdr:to>
    <xdr:graphicFrame macro="">
      <xdr:nvGraphicFramePr>
        <xdr:cNvPr id="7" name="Chart 6">
          <a:extLst>
            <a:ext uri="{FF2B5EF4-FFF2-40B4-BE49-F238E27FC236}">
              <a16:creationId xmlns:a16="http://schemas.microsoft.com/office/drawing/2014/main" id="{48133370-E5F1-898D-4215-22DE3C5F4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832304</xdr:colOff>
      <xdr:row>41</xdr:row>
      <xdr:rowOff>40822</xdr:rowOff>
    </xdr:from>
    <xdr:to>
      <xdr:col>2</xdr:col>
      <xdr:colOff>1136379</xdr:colOff>
      <xdr:row>46</xdr:row>
      <xdr:rowOff>23603</xdr:rowOff>
    </xdr:to>
    <xdr:sp macro="" textlink="$C$5">
      <xdr:nvSpPr>
        <xdr:cNvPr id="13" name="Oval 12">
          <a:extLst>
            <a:ext uri="{FF2B5EF4-FFF2-40B4-BE49-F238E27FC236}">
              <a16:creationId xmlns:a16="http://schemas.microsoft.com/office/drawing/2014/main" id="{E8CBFC6E-7323-6A76-60CC-645CD85421CE}"/>
            </a:ext>
          </a:extLst>
        </xdr:cNvPr>
        <xdr:cNvSpPr/>
      </xdr:nvSpPr>
      <xdr:spPr>
        <a:xfrm>
          <a:off x="1578429" y="8137072"/>
          <a:ext cx="1732825" cy="935281"/>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794D6290-37F2-4F74-92DA-D4A0D2CF558C}" type="TxLink">
            <a:rPr lang="en-US" sz="1700" b="0" i="0" u="none" strike="noStrike" kern="1200">
              <a:solidFill>
                <a:srgbClr val="000000"/>
              </a:solidFill>
              <a:latin typeface="Aptos Narrow"/>
              <a:ea typeface="+mn-ea"/>
              <a:cs typeface="+mn-cs"/>
            </a:rPr>
            <a:pPr marL="0" indent="0" algn="ctr" defTabSz="914394" rtl="0" eaLnBrk="1" latinLnBrk="0" hangingPunct="1"/>
            <a:t>+$0 </a:t>
          </a:fld>
          <a:endParaRPr lang="en-US" sz="1700" b="0" i="0" u="none" strike="noStrike" kern="1200">
            <a:solidFill>
              <a:srgbClr val="000000"/>
            </a:solidFill>
            <a:latin typeface="Aptos Narrow"/>
            <a:ea typeface="+mn-ea"/>
            <a:cs typeface="+mn-cs"/>
          </a:endParaRPr>
        </a:p>
      </xdr:txBody>
    </xdr:sp>
    <xdr:clientData/>
  </xdr:twoCellAnchor>
  <xdr:twoCellAnchor>
    <xdr:from>
      <xdr:col>4</xdr:col>
      <xdr:colOff>525930</xdr:colOff>
      <xdr:row>39</xdr:row>
      <xdr:rowOff>73157</xdr:rowOff>
    </xdr:from>
    <xdr:to>
      <xdr:col>5</xdr:col>
      <xdr:colOff>830005</xdr:colOff>
      <xdr:row>44</xdr:row>
      <xdr:rowOff>55939</xdr:rowOff>
    </xdr:to>
    <xdr:sp macro="" textlink="$D$5">
      <xdr:nvSpPr>
        <xdr:cNvPr id="14" name="Oval 13">
          <a:extLst>
            <a:ext uri="{FF2B5EF4-FFF2-40B4-BE49-F238E27FC236}">
              <a16:creationId xmlns:a16="http://schemas.microsoft.com/office/drawing/2014/main" id="{4513D3E2-5028-4DB2-8593-D4A6F3953E5C}"/>
            </a:ext>
          </a:extLst>
        </xdr:cNvPr>
        <xdr:cNvSpPr/>
      </xdr:nvSpPr>
      <xdr:spPr>
        <a:xfrm>
          <a:off x="5576048" y="7640863"/>
          <a:ext cx="1738428" cy="916605"/>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292C6D7E-980C-4513-ACDD-9E7DE0DCE01B}" type="TxLink">
            <a:rPr lang="en-US" sz="1700" b="0" i="0" u="none" strike="noStrike" kern="1200">
              <a:solidFill>
                <a:srgbClr val="000000"/>
              </a:solidFill>
              <a:latin typeface="Aptos Narrow"/>
              <a:ea typeface="+mn-ea"/>
              <a:cs typeface="+mn-cs"/>
            </a:rPr>
            <a:pPr marL="0" indent="0" algn="ctr" defTabSz="914394" rtl="0" eaLnBrk="1" latinLnBrk="0" hangingPunct="1"/>
            <a:t>+$0 </a:t>
          </a:fld>
          <a:endParaRPr lang="en-US" sz="1700" b="0" i="0" u="none" strike="noStrike" kern="1200">
            <a:solidFill>
              <a:srgbClr val="000000"/>
            </a:solidFill>
            <a:latin typeface="Aptos Narrow"/>
            <a:ea typeface="+mn-ea"/>
            <a:cs typeface="+mn-cs"/>
          </a:endParaRPr>
        </a:p>
      </xdr:txBody>
    </xdr:sp>
    <xdr:clientData/>
  </xdr:twoCellAnchor>
  <xdr:twoCellAnchor>
    <xdr:from>
      <xdr:col>7</xdr:col>
      <xdr:colOff>359228</xdr:colOff>
      <xdr:row>35</xdr:row>
      <xdr:rowOff>139246</xdr:rowOff>
    </xdr:from>
    <xdr:to>
      <xdr:col>8</xdr:col>
      <xdr:colOff>663302</xdr:colOff>
      <xdr:row>40</xdr:row>
      <xdr:rowOff>122027</xdr:rowOff>
    </xdr:to>
    <xdr:sp macro="" textlink="$E$5">
      <xdr:nvSpPr>
        <xdr:cNvPr id="15" name="Oval 14">
          <a:extLst>
            <a:ext uri="{FF2B5EF4-FFF2-40B4-BE49-F238E27FC236}">
              <a16:creationId xmlns:a16="http://schemas.microsoft.com/office/drawing/2014/main" id="{B30FCBD9-642E-4B93-9901-87C145DFF613}"/>
            </a:ext>
          </a:extLst>
        </xdr:cNvPr>
        <xdr:cNvSpPr/>
      </xdr:nvSpPr>
      <xdr:spPr>
        <a:xfrm>
          <a:off x="9677853" y="7092496"/>
          <a:ext cx="1732824" cy="935281"/>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6BA3DFDA-D703-491F-B01F-1B9C7088DA03}" type="TxLink">
            <a:rPr lang="en-US" sz="1700" b="0" i="0" u="none" strike="noStrike" kern="1200">
              <a:solidFill>
                <a:srgbClr val="000000"/>
              </a:solidFill>
              <a:latin typeface="Aptos Narrow"/>
              <a:ea typeface="+mn-ea"/>
              <a:cs typeface="+mn-cs"/>
            </a:rPr>
            <a:pPr marL="0" indent="0" algn="ctr" defTabSz="914394" rtl="0" eaLnBrk="1" latinLnBrk="0" hangingPunct="1"/>
            <a:t>+$0 </a:t>
          </a:fld>
          <a:endParaRPr lang="en-US" sz="1700" b="0" i="0" u="none" strike="noStrike" kern="1200">
            <a:solidFill>
              <a:srgbClr val="000000"/>
            </a:solidFill>
            <a:latin typeface="Aptos Narrow"/>
            <a:ea typeface="+mn-ea"/>
            <a:cs typeface="+mn-cs"/>
          </a:endParaRPr>
        </a:p>
      </xdr:txBody>
    </xdr:sp>
    <xdr:clientData/>
  </xdr:twoCellAnchor>
  <xdr:twoCellAnchor>
    <xdr:from>
      <xdr:col>0</xdr:col>
      <xdr:colOff>261470</xdr:colOff>
      <xdr:row>20</xdr:row>
      <xdr:rowOff>12836</xdr:rowOff>
    </xdr:from>
    <xdr:to>
      <xdr:col>10</xdr:col>
      <xdr:colOff>59071</xdr:colOff>
      <xdr:row>36</xdr:row>
      <xdr:rowOff>122355</xdr:rowOff>
    </xdr:to>
    <xdr:graphicFrame macro="">
      <xdr:nvGraphicFramePr>
        <xdr:cNvPr id="19" name="Chart 18">
          <a:extLst>
            <a:ext uri="{FF2B5EF4-FFF2-40B4-BE49-F238E27FC236}">
              <a16:creationId xmlns:a16="http://schemas.microsoft.com/office/drawing/2014/main" id="{52B5F265-C3C2-433B-9A32-69DD67D53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845565</xdr:colOff>
      <xdr:row>23</xdr:row>
      <xdr:rowOff>26975</xdr:rowOff>
    </xdr:from>
    <xdr:to>
      <xdr:col>2</xdr:col>
      <xdr:colOff>1149640</xdr:colOff>
      <xdr:row>28</xdr:row>
      <xdr:rowOff>9757</xdr:rowOff>
    </xdr:to>
    <xdr:sp macro="" textlink="$C$9">
      <xdr:nvSpPr>
        <xdr:cNvPr id="20" name="Oval 19">
          <a:extLst>
            <a:ext uri="{FF2B5EF4-FFF2-40B4-BE49-F238E27FC236}">
              <a16:creationId xmlns:a16="http://schemas.microsoft.com/office/drawing/2014/main" id="{7C7573A3-F2EC-4FF1-9319-FD5DE86EF5F1}"/>
            </a:ext>
          </a:extLst>
        </xdr:cNvPr>
        <xdr:cNvSpPr/>
      </xdr:nvSpPr>
      <xdr:spPr>
        <a:xfrm>
          <a:off x="1592624" y="4606446"/>
          <a:ext cx="1738428" cy="916605"/>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fld id="{805D6A36-9690-49DB-BCD4-38AC7E46945E}" type="TxLink">
            <a:rPr lang="en-US" sz="1700" b="0" i="0" u="none" strike="noStrike">
              <a:solidFill>
                <a:srgbClr val="000000"/>
              </a:solidFill>
              <a:latin typeface="Aptos Narrow"/>
            </a:rPr>
            <a:pPr algn="ctr"/>
            <a:t>+$0 </a:t>
          </a:fld>
          <a:endParaRPr lang="en-US" sz="1700" b="1">
            <a:solidFill>
              <a:schemeClr val="tx2">
                <a:lumMod val="75000"/>
              </a:schemeClr>
            </a:solidFill>
          </a:endParaRPr>
        </a:p>
      </xdr:txBody>
    </xdr:sp>
    <xdr:clientData/>
  </xdr:twoCellAnchor>
  <xdr:twoCellAnchor>
    <xdr:from>
      <xdr:col>4</xdr:col>
      <xdr:colOff>471689</xdr:colOff>
      <xdr:row>21</xdr:row>
      <xdr:rowOff>118409</xdr:rowOff>
    </xdr:from>
    <xdr:to>
      <xdr:col>5</xdr:col>
      <xdr:colOff>775764</xdr:colOff>
      <xdr:row>26</xdr:row>
      <xdr:rowOff>101190</xdr:rowOff>
    </xdr:to>
    <xdr:sp macro="" textlink="$D$9">
      <xdr:nvSpPr>
        <xdr:cNvPr id="21" name="Oval 20">
          <a:extLst>
            <a:ext uri="{FF2B5EF4-FFF2-40B4-BE49-F238E27FC236}">
              <a16:creationId xmlns:a16="http://schemas.microsoft.com/office/drawing/2014/main" id="{4FAFBF75-E59E-4483-B4C0-EC8D0AC185EC}"/>
            </a:ext>
          </a:extLst>
        </xdr:cNvPr>
        <xdr:cNvSpPr/>
      </xdr:nvSpPr>
      <xdr:spPr>
        <a:xfrm>
          <a:off x="5521807" y="4324350"/>
          <a:ext cx="1738428" cy="916605"/>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0F9AA55C-CDA4-4636-80B6-FD0DCC8B36C4}" type="TxLink">
            <a:rPr lang="en-US" sz="1700" b="0" i="0" u="none" strike="noStrike" kern="1200">
              <a:solidFill>
                <a:srgbClr val="000000"/>
              </a:solidFill>
              <a:latin typeface="Aptos Narrow"/>
              <a:ea typeface="+mn-ea"/>
              <a:cs typeface="+mn-cs"/>
            </a:rPr>
            <a:pPr marL="0" indent="0" algn="ctr" defTabSz="914394" rtl="0" eaLnBrk="1" latinLnBrk="0" hangingPunct="1"/>
            <a:t>+$0 </a:t>
          </a:fld>
          <a:endParaRPr lang="en-US" sz="1700" b="0" i="0" u="none" strike="noStrike" kern="1200">
            <a:solidFill>
              <a:srgbClr val="000000"/>
            </a:solidFill>
            <a:latin typeface="Aptos Narrow"/>
            <a:ea typeface="+mn-ea"/>
            <a:cs typeface="+mn-cs"/>
          </a:endParaRPr>
        </a:p>
      </xdr:txBody>
    </xdr:sp>
    <xdr:clientData/>
  </xdr:twoCellAnchor>
  <xdr:twoCellAnchor>
    <xdr:from>
      <xdr:col>7</xdr:col>
      <xdr:colOff>259096</xdr:colOff>
      <xdr:row>17</xdr:row>
      <xdr:rowOff>55096</xdr:rowOff>
    </xdr:from>
    <xdr:to>
      <xdr:col>8</xdr:col>
      <xdr:colOff>654610</xdr:colOff>
      <xdr:row>22</xdr:row>
      <xdr:rowOff>37877</xdr:rowOff>
    </xdr:to>
    <xdr:sp macro="" textlink="$E$9">
      <xdr:nvSpPr>
        <xdr:cNvPr id="22" name="Oval 21">
          <a:extLst>
            <a:ext uri="{FF2B5EF4-FFF2-40B4-BE49-F238E27FC236}">
              <a16:creationId xmlns:a16="http://schemas.microsoft.com/office/drawing/2014/main" id="{C4A953AC-F41B-4151-BFC6-CD5C84515C18}"/>
            </a:ext>
          </a:extLst>
        </xdr:cNvPr>
        <xdr:cNvSpPr/>
      </xdr:nvSpPr>
      <xdr:spPr>
        <a:xfrm>
          <a:off x="9612272" y="3513978"/>
          <a:ext cx="1829867" cy="916605"/>
        </a:xfrm>
        <a:prstGeom prst="ellipse">
          <a:avLst/>
        </a:prstGeom>
        <a:solidFill>
          <a:srgbClr val="BDD7EE"/>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marL="0" indent="0" algn="ctr" defTabSz="914394" rtl="0" eaLnBrk="1" latinLnBrk="0" hangingPunct="1"/>
          <a:fld id="{7423FA0D-42B0-47CC-A20F-28D4BECBA688}" type="TxLink">
            <a:rPr lang="en-US" sz="1700" b="0" i="0" u="none" strike="noStrike" kern="1200">
              <a:solidFill>
                <a:srgbClr val="000000"/>
              </a:solidFill>
              <a:latin typeface="Aptos Narrow"/>
              <a:ea typeface="+mn-ea"/>
              <a:cs typeface="+mn-cs"/>
            </a:rPr>
            <a:pPr marL="0" indent="0" algn="ctr" defTabSz="914394" rtl="0" eaLnBrk="1" latinLnBrk="0" hangingPunct="1"/>
            <a:t>+$0 </a:t>
          </a:fld>
          <a:endParaRPr lang="en-US" sz="1700" b="0" i="0" u="none" strike="noStrike" kern="1200">
            <a:solidFill>
              <a:srgbClr val="000000"/>
            </a:solidFill>
            <a:latin typeface="Aptos Narrow"/>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204620</xdr:colOff>
      <xdr:row>24</xdr:row>
      <xdr:rowOff>90556</xdr:rowOff>
    </xdr:from>
    <xdr:to>
      <xdr:col>10</xdr:col>
      <xdr:colOff>425450</xdr:colOff>
      <xdr:row>25</xdr:row>
      <xdr:rowOff>82550</xdr:rowOff>
    </xdr:to>
    <xdr:sp macro="" textlink="">
      <xdr:nvSpPr>
        <xdr:cNvPr id="65" name="Rectangle: Rounded Corners 64">
          <a:extLst>
            <a:ext uri="{FF2B5EF4-FFF2-40B4-BE49-F238E27FC236}">
              <a16:creationId xmlns:a16="http://schemas.microsoft.com/office/drawing/2014/main" id="{319C6C3D-8365-4ED8-B977-24E669789338}"/>
            </a:ext>
          </a:extLst>
        </xdr:cNvPr>
        <xdr:cNvSpPr/>
      </xdr:nvSpPr>
      <xdr:spPr>
        <a:xfrm>
          <a:off x="2992270" y="3595756"/>
          <a:ext cx="1554330" cy="138044"/>
        </a:xfrm>
        <a:prstGeom prst="roundRect">
          <a:avLst>
            <a:gd name="adj" fmla="val 86"/>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330200</xdr:colOff>
      <xdr:row>24</xdr:row>
      <xdr:rowOff>90556</xdr:rowOff>
    </xdr:from>
    <xdr:to>
      <xdr:col>11</xdr:col>
      <xdr:colOff>69850</xdr:colOff>
      <xdr:row>25</xdr:row>
      <xdr:rowOff>88900</xdr:rowOff>
    </xdr:to>
    <xdr:sp macro="" textlink="">
      <xdr:nvSpPr>
        <xdr:cNvPr id="68" name="Rectangle: Rounded Corners 67">
          <a:extLst>
            <a:ext uri="{FF2B5EF4-FFF2-40B4-BE49-F238E27FC236}">
              <a16:creationId xmlns:a16="http://schemas.microsoft.com/office/drawing/2014/main" id="{1EDAB8FC-75CE-46B4-AD35-5339C8D501AF}"/>
            </a:ext>
          </a:extLst>
        </xdr:cNvPr>
        <xdr:cNvSpPr/>
      </xdr:nvSpPr>
      <xdr:spPr>
        <a:xfrm>
          <a:off x="4451350" y="3595756"/>
          <a:ext cx="184150" cy="144394"/>
        </a:xfrm>
        <a:prstGeom prst="roundRect">
          <a:avLst>
            <a:gd name="adj" fmla="val 86"/>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107825</xdr:colOff>
      <xdr:row>8</xdr:row>
      <xdr:rowOff>91754</xdr:rowOff>
    </xdr:from>
    <xdr:to>
      <xdr:col>33</xdr:col>
      <xdr:colOff>429639</xdr:colOff>
      <xdr:row>10</xdr:row>
      <xdr:rowOff>12331</xdr:rowOff>
    </xdr:to>
    <xdr:sp macro="" textlink="">
      <xdr:nvSpPr>
        <xdr:cNvPr id="38" name="Rectangle: Rounded Corners 37">
          <a:extLst>
            <a:ext uri="{FF2B5EF4-FFF2-40B4-BE49-F238E27FC236}">
              <a16:creationId xmlns:a16="http://schemas.microsoft.com/office/drawing/2014/main" id="{530DD304-09B9-6018-967E-D34EDDB3AF57}"/>
            </a:ext>
          </a:extLst>
        </xdr:cNvPr>
        <xdr:cNvSpPr/>
      </xdr:nvSpPr>
      <xdr:spPr>
        <a:xfrm>
          <a:off x="11013950" y="1266504"/>
          <a:ext cx="1210814" cy="214265"/>
        </a:xfrm>
        <a:prstGeom prst="roundRect">
          <a:avLst>
            <a:gd name="adj" fmla="val 50000"/>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clientData/>
  </xdr:twoCellAnchor>
  <xdr:twoCellAnchor>
    <xdr:from>
      <xdr:col>30</xdr:col>
      <xdr:colOff>28794</xdr:colOff>
      <xdr:row>8</xdr:row>
      <xdr:rowOff>89804</xdr:rowOff>
    </xdr:from>
    <xdr:to>
      <xdr:col>32</xdr:col>
      <xdr:colOff>245437</xdr:colOff>
      <xdr:row>10</xdr:row>
      <xdr:rowOff>17929</xdr:rowOff>
    </xdr:to>
    <xdr:sp macro="" textlink="">
      <xdr:nvSpPr>
        <xdr:cNvPr id="37" name="Rectangle: Rounded Corners 36">
          <a:extLst>
            <a:ext uri="{FF2B5EF4-FFF2-40B4-BE49-F238E27FC236}">
              <a16:creationId xmlns:a16="http://schemas.microsoft.com/office/drawing/2014/main" id="{D83E3674-F7D3-42E8-801D-AEF64C6730BB}"/>
            </a:ext>
          </a:extLst>
        </xdr:cNvPr>
        <xdr:cNvSpPr/>
      </xdr:nvSpPr>
      <xdr:spPr>
        <a:xfrm>
          <a:off x="10490419" y="1264554"/>
          <a:ext cx="1105643" cy="221813"/>
        </a:xfrm>
        <a:prstGeom prst="roundRect">
          <a:avLst>
            <a:gd name="adj" fmla="val 50000"/>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109884</xdr:colOff>
      <xdr:row>5</xdr:row>
      <xdr:rowOff>6350</xdr:rowOff>
    </xdr:from>
    <xdr:to>
      <xdr:col>19</xdr:col>
      <xdr:colOff>372939</xdr:colOff>
      <xdr:row>9</xdr:row>
      <xdr:rowOff>139700</xdr:rowOff>
    </xdr:to>
    <xdr:sp macro="" textlink="">
      <xdr:nvSpPr>
        <xdr:cNvPr id="27" name="Rectangle 26">
          <a:extLst>
            <a:ext uri="{FF2B5EF4-FFF2-40B4-BE49-F238E27FC236}">
              <a16:creationId xmlns:a16="http://schemas.microsoft.com/office/drawing/2014/main" id="{C3170436-3A44-48D1-B64E-403038624D67}"/>
            </a:ext>
          </a:extLst>
        </xdr:cNvPr>
        <xdr:cNvSpPr/>
      </xdr:nvSpPr>
      <xdr:spPr>
        <a:xfrm>
          <a:off x="4991101" y="724176"/>
          <a:ext cx="2803055" cy="707611"/>
        </a:xfrm>
        <a:prstGeom prst="rect">
          <a:avLst/>
        </a:prstGeom>
        <a:solidFill>
          <a:schemeClr val="accent6">
            <a:alpha val="1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99392</xdr:colOff>
      <xdr:row>65</xdr:row>
      <xdr:rowOff>49695</xdr:rowOff>
    </xdr:from>
    <xdr:to>
      <xdr:col>10</xdr:col>
      <xdr:colOff>635000</xdr:colOff>
      <xdr:row>71</xdr:row>
      <xdr:rowOff>93868</xdr:rowOff>
    </xdr:to>
    <xdr:sp macro="" textlink="">
      <xdr:nvSpPr>
        <xdr:cNvPr id="22" name="Rectangle 21">
          <a:extLst>
            <a:ext uri="{FF2B5EF4-FFF2-40B4-BE49-F238E27FC236}">
              <a16:creationId xmlns:a16="http://schemas.microsoft.com/office/drawing/2014/main" id="{8F165B41-4C5E-5F30-AAB2-F9E7648BFA1B}"/>
            </a:ext>
          </a:extLst>
        </xdr:cNvPr>
        <xdr:cNvSpPr/>
      </xdr:nvSpPr>
      <xdr:spPr>
        <a:xfrm>
          <a:off x="220870" y="3743738"/>
          <a:ext cx="3671956" cy="905565"/>
        </a:xfrm>
        <a:prstGeom prst="rect">
          <a:avLst/>
        </a:prstGeom>
        <a:solidFill>
          <a:srgbClr val="CC0000">
            <a:alpha val="12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97183</xdr:colOff>
      <xdr:row>59</xdr:row>
      <xdr:rowOff>11044</xdr:rowOff>
    </xdr:from>
    <xdr:to>
      <xdr:col>10</xdr:col>
      <xdr:colOff>632791</xdr:colOff>
      <xdr:row>65</xdr:row>
      <xdr:rowOff>75096</xdr:rowOff>
    </xdr:to>
    <xdr:sp macro="" textlink="">
      <xdr:nvSpPr>
        <xdr:cNvPr id="23" name="Rectangle 22">
          <a:extLst>
            <a:ext uri="{FF2B5EF4-FFF2-40B4-BE49-F238E27FC236}">
              <a16:creationId xmlns:a16="http://schemas.microsoft.com/office/drawing/2014/main" id="{A764F4F2-03FC-4992-94E5-8DF8F8A866BD}"/>
            </a:ext>
          </a:extLst>
        </xdr:cNvPr>
        <xdr:cNvSpPr/>
      </xdr:nvSpPr>
      <xdr:spPr>
        <a:xfrm>
          <a:off x="218661" y="2843696"/>
          <a:ext cx="3671956" cy="925443"/>
        </a:xfrm>
        <a:prstGeom prst="rect">
          <a:avLst/>
        </a:prstGeom>
        <a:solidFill>
          <a:schemeClr val="accent6">
            <a:alpha val="1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635000</xdr:colOff>
      <xdr:row>5</xdr:row>
      <xdr:rowOff>43962</xdr:rowOff>
    </xdr:from>
    <xdr:to>
      <xdr:col>11</xdr:col>
      <xdr:colOff>0</xdr:colOff>
      <xdr:row>6</xdr:row>
      <xdr:rowOff>117230</xdr:rowOff>
    </xdr:to>
    <xdr:sp macro="" textlink="">
      <xdr:nvSpPr>
        <xdr:cNvPr id="3" name="Rectangle: Rounded Corners 2">
          <a:extLst>
            <a:ext uri="{FF2B5EF4-FFF2-40B4-BE49-F238E27FC236}">
              <a16:creationId xmlns:a16="http://schemas.microsoft.com/office/drawing/2014/main" id="{AC335662-C111-45D5-147B-7BEA8950A2D1}"/>
            </a:ext>
          </a:extLst>
        </xdr:cNvPr>
        <xdr:cNvSpPr/>
      </xdr:nvSpPr>
      <xdr:spPr>
        <a:xfrm>
          <a:off x="4000500" y="776654"/>
          <a:ext cx="864577" cy="219807"/>
        </a:xfrm>
        <a:prstGeom prst="roundRect">
          <a:avLst>
            <a:gd name="adj" fmla="val 50000"/>
          </a:avLst>
        </a:prstGeom>
        <a:solidFill>
          <a:schemeClr val="accent6">
            <a:lumMod val="20000"/>
            <a:lumOff val="8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170</xdr:colOff>
      <xdr:row>5</xdr:row>
      <xdr:rowOff>43543</xdr:rowOff>
    </xdr:from>
    <xdr:to>
      <xdr:col>9</xdr:col>
      <xdr:colOff>17124</xdr:colOff>
      <xdr:row>6</xdr:row>
      <xdr:rowOff>121228</xdr:rowOff>
    </xdr:to>
    <xdr:sp macro="" textlink="">
      <xdr:nvSpPr>
        <xdr:cNvPr id="11" name="Rectangle: Rounded Corners 10">
          <a:extLst>
            <a:ext uri="{FF2B5EF4-FFF2-40B4-BE49-F238E27FC236}">
              <a16:creationId xmlns:a16="http://schemas.microsoft.com/office/drawing/2014/main" id="{D2D89ABB-3FBD-2BE0-BBDE-8A60D0228B34}"/>
            </a:ext>
          </a:extLst>
        </xdr:cNvPr>
        <xdr:cNvSpPr/>
      </xdr:nvSpPr>
      <xdr:spPr>
        <a:xfrm>
          <a:off x="2805213" y="761369"/>
          <a:ext cx="911476" cy="221250"/>
        </a:xfrm>
        <a:prstGeom prst="roundRect">
          <a:avLst>
            <a:gd name="adj" fmla="val 50000"/>
          </a:avLst>
        </a:prstGeom>
        <a:solidFill>
          <a:schemeClr val="accent6">
            <a:lumMod val="60000"/>
            <a:lumOff val="4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117475</xdr:colOff>
      <xdr:row>5</xdr:row>
      <xdr:rowOff>120650</xdr:rowOff>
    </xdr:from>
    <xdr:to>
      <xdr:col>7</xdr:col>
      <xdr:colOff>104588</xdr:colOff>
      <xdr:row>17</xdr:row>
      <xdr:rowOff>50800</xdr:rowOff>
    </xdr:to>
    <xdr:graphicFrame macro="">
      <xdr:nvGraphicFramePr>
        <xdr:cNvPr id="2" name="Chart 1">
          <a:extLst>
            <a:ext uri="{FF2B5EF4-FFF2-40B4-BE49-F238E27FC236}">
              <a16:creationId xmlns:a16="http://schemas.microsoft.com/office/drawing/2014/main" id="{8B676128-7805-005A-B4F8-002D8599A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444500</xdr:colOff>
      <xdr:row>5</xdr:row>
      <xdr:rowOff>43546</xdr:rowOff>
    </xdr:from>
    <xdr:to>
      <xdr:col>7</xdr:col>
      <xdr:colOff>444500</xdr:colOff>
      <xdr:row>6</xdr:row>
      <xdr:rowOff>137889</xdr:rowOff>
    </xdr:to>
    <xdr:sp macro="" textlink="">
      <xdr:nvSpPr>
        <xdr:cNvPr id="4" name="TextBox 3">
          <a:extLst>
            <a:ext uri="{FF2B5EF4-FFF2-40B4-BE49-F238E27FC236}">
              <a16:creationId xmlns:a16="http://schemas.microsoft.com/office/drawing/2014/main" id="{38D1A1AD-3CB8-05E3-CD3F-2B1BE2EACE22}"/>
            </a:ext>
          </a:extLst>
        </xdr:cNvPr>
        <xdr:cNvSpPr txBox="1"/>
      </xdr:nvSpPr>
      <xdr:spPr>
        <a:xfrm>
          <a:off x="2802283" y="761372"/>
          <a:ext cx="447260" cy="23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Assets	</a:t>
          </a:r>
        </a:p>
      </xdr:txBody>
    </xdr:sp>
    <xdr:clientData/>
  </xdr:twoCellAnchor>
  <xdr:twoCellAnchor>
    <xdr:from>
      <xdr:col>9</xdr:col>
      <xdr:colOff>37353</xdr:colOff>
      <xdr:row>5</xdr:row>
      <xdr:rowOff>29882</xdr:rowOff>
    </xdr:from>
    <xdr:to>
      <xdr:col>11</xdr:col>
      <xdr:colOff>58614</xdr:colOff>
      <xdr:row>6</xdr:row>
      <xdr:rowOff>132446</xdr:rowOff>
    </xdr:to>
    <xdr:sp macro="" textlink="">
      <xdr:nvSpPr>
        <xdr:cNvPr id="5" name="TextBox 4">
          <a:extLst>
            <a:ext uri="{FF2B5EF4-FFF2-40B4-BE49-F238E27FC236}">
              <a16:creationId xmlns:a16="http://schemas.microsoft.com/office/drawing/2014/main" id="{837C2225-4918-5C7E-B54A-0736D696F2FE}"/>
            </a:ext>
          </a:extLst>
        </xdr:cNvPr>
        <xdr:cNvSpPr txBox="1"/>
      </xdr:nvSpPr>
      <xdr:spPr>
        <a:xfrm>
          <a:off x="3736918" y="747708"/>
          <a:ext cx="915783" cy="24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Liabilities	</a:t>
          </a:r>
        </a:p>
      </xdr:txBody>
    </xdr:sp>
    <xdr:clientData/>
  </xdr:twoCellAnchor>
  <xdr:twoCellAnchor>
    <xdr:from>
      <xdr:col>1</xdr:col>
      <xdr:colOff>73267</xdr:colOff>
      <xdr:row>58</xdr:row>
      <xdr:rowOff>128428</xdr:rowOff>
    </xdr:from>
    <xdr:to>
      <xdr:col>11</xdr:col>
      <xdr:colOff>14431</xdr:colOff>
      <xdr:row>70</xdr:row>
      <xdr:rowOff>127000</xdr:rowOff>
    </xdr:to>
    <xdr:graphicFrame macro="">
      <xdr:nvGraphicFramePr>
        <xdr:cNvPr id="21" name="Chart 20">
          <a:extLst>
            <a:ext uri="{FF2B5EF4-FFF2-40B4-BE49-F238E27FC236}">
              <a16:creationId xmlns:a16="http://schemas.microsoft.com/office/drawing/2014/main" id="{1D9730B2-C861-459B-B79B-0426830FD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95802</xdr:colOff>
      <xdr:row>59</xdr:row>
      <xdr:rowOff>25399</xdr:rowOff>
    </xdr:from>
    <xdr:to>
      <xdr:col>5</xdr:col>
      <xdr:colOff>189672</xdr:colOff>
      <xdr:row>61</xdr:row>
      <xdr:rowOff>49970</xdr:rowOff>
    </xdr:to>
    <xdr:sp macro="" textlink="">
      <xdr:nvSpPr>
        <xdr:cNvPr id="24" name="TextBox 23">
          <a:extLst>
            <a:ext uri="{FF2B5EF4-FFF2-40B4-BE49-F238E27FC236}">
              <a16:creationId xmlns:a16="http://schemas.microsoft.com/office/drawing/2014/main" id="{61948659-0C55-7EA2-DA32-F07570B6356A}"/>
            </a:ext>
          </a:extLst>
        </xdr:cNvPr>
        <xdr:cNvSpPr txBox="1"/>
      </xdr:nvSpPr>
      <xdr:spPr>
        <a:xfrm>
          <a:off x="216452" y="2895599"/>
          <a:ext cx="1624220" cy="316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6"/>
              </a:solidFill>
            </a:rPr>
            <a:t>Months of Cash inflow</a:t>
          </a:r>
        </a:p>
      </xdr:txBody>
    </xdr:sp>
    <xdr:clientData/>
  </xdr:twoCellAnchor>
  <xdr:twoCellAnchor>
    <xdr:from>
      <xdr:col>1</xdr:col>
      <xdr:colOff>82274</xdr:colOff>
      <xdr:row>70</xdr:row>
      <xdr:rowOff>20982</xdr:rowOff>
    </xdr:from>
    <xdr:to>
      <xdr:col>5</xdr:col>
      <xdr:colOff>176144</xdr:colOff>
      <xdr:row>72</xdr:row>
      <xdr:rowOff>43069</xdr:rowOff>
    </xdr:to>
    <xdr:sp macro="" textlink="">
      <xdr:nvSpPr>
        <xdr:cNvPr id="25" name="TextBox 24">
          <a:extLst>
            <a:ext uri="{FF2B5EF4-FFF2-40B4-BE49-F238E27FC236}">
              <a16:creationId xmlns:a16="http://schemas.microsoft.com/office/drawing/2014/main" id="{FB567C74-9131-2C0E-19AB-E7B6E0399381}"/>
            </a:ext>
          </a:extLst>
        </xdr:cNvPr>
        <xdr:cNvSpPr txBox="1"/>
      </xdr:nvSpPr>
      <xdr:spPr>
        <a:xfrm>
          <a:off x="202924" y="4497732"/>
          <a:ext cx="1624220" cy="31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CC0000"/>
              </a:solidFill>
            </a:rPr>
            <a:t>Months of Cash Outflow</a:t>
          </a:r>
        </a:p>
      </xdr:txBody>
    </xdr:sp>
    <xdr:clientData/>
  </xdr:twoCellAnchor>
  <xdr:twoCellAnchor>
    <xdr:from>
      <xdr:col>13</xdr:col>
      <xdr:colOff>99394</xdr:colOff>
      <xdr:row>10</xdr:row>
      <xdr:rowOff>1611</xdr:rowOff>
    </xdr:from>
    <xdr:to>
      <xdr:col>19</xdr:col>
      <xdr:colOff>373494</xdr:colOff>
      <xdr:row>17</xdr:row>
      <xdr:rowOff>50800</xdr:rowOff>
    </xdr:to>
    <xdr:sp macro="" textlink="">
      <xdr:nvSpPr>
        <xdr:cNvPr id="26" name="Rectangle 25">
          <a:extLst>
            <a:ext uri="{FF2B5EF4-FFF2-40B4-BE49-F238E27FC236}">
              <a16:creationId xmlns:a16="http://schemas.microsoft.com/office/drawing/2014/main" id="{74052A20-E186-4503-9BF3-151F3FF1A19E}"/>
            </a:ext>
          </a:extLst>
        </xdr:cNvPr>
        <xdr:cNvSpPr/>
      </xdr:nvSpPr>
      <xdr:spPr>
        <a:xfrm>
          <a:off x="4980611" y="1437263"/>
          <a:ext cx="2814100" cy="1054146"/>
        </a:xfrm>
        <a:prstGeom prst="rect">
          <a:avLst/>
        </a:prstGeom>
        <a:solidFill>
          <a:srgbClr val="CC0000">
            <a:alpha val="12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54219</xdr:colOff>
      <xdr:row>6</xdr:row>
      <xdr:rowOff>125361</xdr:rowOff>
    </xdr:from>
    <xdr:to>
      <xdr:col>20</xdr:col>
      <xdr:colOff>33132</xdr:colOff>
      <xdr:row>18</xdr:row>
      <xdr:rowOff>123934</xdr:rowOff>
    </xdr:to>
    <xdr:graphicFrame macro="">
      <xdr:nvGraphicFramePr>
        <xdr:cNvPr id="28" name="Chart 27">
          <a:extLst>
            <a:ext uri="{FF2B5EF4-FFF2-40B4-BE49-F238E27FC236}">
              <a16:creationId xmlns:a16="http://schemas.microsoft.com/office/drawing/2014/main" id="{C555D36D-3AD9-4227-89C8-5EB31BAD9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55636</xdr:colOff>
      <xdr:row>5</xdr:row>
      <xdr:rowOff>2638</xdr:rowOff>
    </xdr:from>
    <xdr:to>
      <xdr:col>15</xdr:col>
      <xdr:colOff>149506</xdr:colOff>
      <xdr:row>7</xdr:row>
      <xdr:rowOff>27208</xdr:rowOff>
    </xdr:to>
    <xdr:sp macro="" textlink="">
      <xdr:nvSpPr>
        <xdr:cNvPr id="29" name="TextBox 28">
          <a:extLst>
            <a:ext uri="{FF2B5EF4-FFF2-40B4-BE49-F238E27FC236}">
              <a16:creationId xmlns:a16="http://schemas.microsoft.com/office/drawing/2014/main" id="{4ED8B4CA-9820-4F53-B0CA-BB37EB1A4770}"/>
            </a:ext>
          </a:extLst>
        </xdr:cNvPr>
        <xdr:cNvSpPr txBox="1"/>
      </xdr:nvSpPr>
      <xdr:spPr>
        <a:xfrm>
          <a:off x="4936853" y="720464"/>
          <a:ext cx="844827" cy="311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6"/>
              </a:solidFill>
            </a:rPr>
            <a:t>Cash</a:t>
          </a:r>
          <a:r>
            <a:rPr lang="en-US" sz="800" b="1" baseline="0">
              <a:solidFill>
                <a:schemeClr val="accent6"/>
              </a:solidFill>
            </a:rPr>
            <a:t> Surplus</a:t>
          </a:r>
          <a:endParaRPr lang="en-US" sz="800" b="1">
            <a:solidFill>
              <a:schemeClr val="accent6"/>
            </a:solidFill>
          </a:endParaRPr>
        </a:p>
      </xdr:txBody>
    </xdr:sp>
    <xdr:clientData/>
  </xdr:twoCellAnchor>
  <xdr:twoCellAnchor>
    <xdr:from>
      <xdr:col>13</xdr:col>
      <xdr:colOff>38481</xdr:colOff>
      <xdr:row>15</xdr:row>
      <xdr:rowOff>128255</xdr:rowOff>
    </xdr:from>
    <xdr:to>
      <xdr:col>15</xdr:col>
      <xdr:colOff>132351</xdr:colOff>
      <xdr:row>18</xdr:row>
      <xdr:rowOff>8309</xdr:rowOff>
    </xdr:to>
    <xdr:sp macro="" textlink="">
      <xdr:nvSpPr>
        <xdr:cNvPr id="30" name="TextBox 29">
          <a:extLst>
            <a:ext uri="{FF2B5EF4-FFF2-40B4-BE49-F238E27FC236}">
              <a16:creationId xmlns:a16="http://schemas.microsoft.com/office/drawing/2014/main" id="{01229201-27C8-4A2E-A63D-0979CF9D325E}"/>
            </a:ext>
          </a:extLst>
        </xdr:cNvPr>
        <xdr:cNvSpPr txBox="1"/>
      </xdr:nvSpPr>
      <xdr:spPr>
        <a:xfrm>
          <a:off x="4919698" y="2281733"/>
          <a:ext cx="844827" cy="31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CC0000"/>
              </a:solidFill>
            </a:rPr>
            <a:t>Cash Deficit</a:t>
          </a:r>
        </a:p>
      </xdr:txBody>
    </xdr:sp>
    <xdr:clientData/>
  </xdr:twoCellAnchor>
  <xdr:twoCellAnchor>
    <xdr:from>
      <xdr:col>18</xdr:col>
      <xdr:colOff>157287</xdr:colOff>
      <xdr:row>13</xdr:row>
      <xdr:rowOff>100016</xdr:rowOff>
    </xdr:from>
    <xdr:to>
      <xdr:col>20</xdr:col>
      <xdr:colOff>99391</xdr:colOff>
      <xdr:row>15</xdr:row>
      <xdr:rowOff>122103</xdr:rowOff>
    </xdr:to>
    <xdr:sp macro="" textlink="">
      <xdr:nvSpPr>
        <xdr:cNvPr id="31" name="TextBox 30">
          <a:extLst>
            <a:ext uri="{FF2B5EF4-FFF2-40B4-BE49-F238E27FC236}">
              <a16:creationId xmlns:a16="http://schemas.microsoft.com/office/drawing/2014/main" id="{945D63AC-00C9-3854-2644-7789EC073EAE}"/>
            </a:ext>
          </a:extLst>
        </xdr:cNvPr>
        <xdr:cNvSpPr txBox="1"/>
      </xdr:nvSpPr>
      <xdr:spPr>
        <a:xfrm>
          <a:off x="7131244" y="1966364"/>
          <a:ext cx="836625" cy="30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CC0000"/>
              </a:solidFill>
            </a:rPr>
            <a:t>Nov 2025</a:t>
          </a:r>
        </a:p>
      </xdr:txBody>
    </xdr:sp>
    <xdr:clientData/>
  </xdr:twoCellAnchor>
  <xdr:twoCellAnchor>
    <xdr:from>
      <xdr:col>18</xdr:col>
      <xdr:colOff>328681</xdr:colOff>
      <xdr:row>6</xdr:row>
      <xdr:rowOff>108283</xdr:rowOff>
    </xdr:from>
    <xdr:to>
      <xdr:col>23</xdr:col>
      <xdr:colOff>82826</xdr:colOff>
      <xdr:row>8</xdr:row>
      <xdr:rowOff>130368</xdr:rowOff>
    </xdr:to>
    <xdr:sp macro="" textlink="">
      <xdr:nvSpPr>
        <xdr:cNvPr id="32" name="TextBox 31">
          <a:extLst>
            <a:ext uri="{FF2B5EF4-FFF2-40B4-BE49-F238E27FC236}">
              <a16:creationId xmlns:a16="http://schemas.microsoft.com/office/drawing/2014/main" id="{003231D1-2E13-EACF-FB1C-F1DFEAD5103A}"/>
            </a:ext>
          </a:extLst>
        </xdr:cNvPr>
        <xdr:cNvSpPr txBox="1"/>
      </xdr:nvSpPr>
      <xdr:spPr>
        <a:xfrm>
          <a:off x="7302638" y="969674"/>
          <a:ext cx="781188" cy="30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6"/>
              </a:solidFill>
            </a:rPr>
            <a:t>Dec 2025</a:t>
          </a:r>
        </a:p>
      </xdr:txBody>
    </xdr:sp>
    <xdr:clientData/>
  </xdr:twoCellAnchor>
  <xdr:twoCellAnchor>
    <xdr:from>
      <xdr:col>22</xdr:col>
      <xdr:colOff>6300</xdr:colOff>
      <xdr:row>6</xdr:row>
      <xdr:rowOff>113920</xdr:rowOff>
    </xdr:from>
    <xdr:to>
      <xdr:col>29</xdr:col>
      <xdr:colOff>283028</xdr:colOff>
      <xdr:row>18</xdr:row>
      <xdr:rowOff>115686</xdr:rowOff>
    </xdr:to>
    <xdr:graphicFrame macro="">
      <xdr:nvGraphicFramePr>
        <xdr:cNvPr id="42" name="Chart 41">
          <a:extLst>
            <a:ext uri="{FF2B5EF4-FFF2-40B4-BE49-F238E27FC236}">
              <a16:creationId xmlns:a16="http://schemas.microsoft.com/office/drawing/2014/main" id="{4EDC63EF-AE9E-562F-87E8-F23E60DA5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369094</xdr:colOff>
      <xdr:row>8</xdr:row>
      <xdr:rowOff>89997</xdr:rowOff>
    </xdr:from>
    <xdr:to>
      <xdr:col>31</xdr:col>
      <xdr:colOff>124865</xdr:colOff>
      <xdr:row>10</xdr:row>
      <xdr:rowOff>20838</xdr:rowOff>
    </xdr:to>
    <xdr:sp macro="" textlink="">
      <xdr:nvSpPr>
        <xdr:cNvPr id="60" name="Rectangle: Rounded Corners 59">
          <a:extLst>
            <a:ext uri="{FF2B5EF4-FFF2-40B4-BE49-F238E27FC236}">
              <a16:creationId xmlns:a16="http://schemas.microsoft.com/office/drawing/2014/main" id="{EDC0E2CA-D623-4124-AC2D-D9A8AE9C895D}"/>
            </a:ext>
          </a:extLst>
        </xdr:cNvPr>
        <xdr:cNvSpPr/>
      </xdr:nvSpPr>
      <xdr:spPr>
        <a:xfrm>
          <a:off x="10386219" y="1264747"/>
          <a:ext cx="644771" cy="224529"/>
        </a:xfrm>
        <a:prstGeom prst="roundRect">
          <a:avLst>
            <a:gd name="adj" fmla="val 50000"/>
          </a:avLst>
        </a:prstGeom>
        <a:solidFill>
          <a:schemeClr val="accent6">
            <a:lumMod val="60000"/>
            <a:lumOff val="4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375688</xdr:colOff>
      <xdr:row>8</xdr:row>
      <xdr:rowOff>79375</xdr:rowOff>
    </xdr:from>
    <xdr:to>
      <xdr:col>31</xdr:col>
      <xdr:colOff>77693</xdr:colOff>
      <xdr:row>10</xdr:row>
      <xdr:rowOff>24515</xdr:rowOff>
    </xdr:to>
    <xdr:sp macro="" textlink="">
      <xdr:nvSpPr>
        <xdr:cNvPr id="61" name="TextBox 60">
          <a:extLst>
            <a:ext uri="{FF2B5EF4-FFF2-40B4-BE49-F238E27FC236}">
              <a16:creationId xmlns:a16="http://schemas.microsoft.com/office/drawing/2014/main" id="{86DD0D91-9E93-4AB1-BA46-2F086EAB0153}"/>
            </a:ext>
          </a:extLst>
        </xdr:cNvPr>
        <xdr:cNvSpPr txBox="1"/>
      </xdr:nvSpPr>
      <xdr:spPr>
        <a:xfrm>
          <a:off x="10392813" y="1254125"/>
          <a:ext cx="591005" cy="238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Reserve	</a:t>
          </a:r>
        </a:p>
      </xdr:txBody>
    </xdr:sp>
    <xdr:clientData/>
  </xdr:twoCellAnchor>
  <xdr:twoCellAnchor>
    <xdr:from>
      <xdr:col>32</xdr:col>
      <xdr:colOff>209417</xdr:colOff>
      <xdr:row>8</xdr:row>
      <xdr:rowOff>79713</xdr:rowOff>
    </xdr:from>
    <xdr:to>
      <xdr:col>35</xdr:col>
      <xdr:colOff>67036</xdr:colOff>
      <xdr:row>10</xdr:row>
      <xdr:rowOff>32865</xdr:rowOff>
    </xdr:to>
    <xdr:sp macro="" textlink="">
      <xdr:nvSpPr>
        <xdr:cNvPr id="62" name="TextBox 61">
          <a:extLst>
            <a:ext uri="{FF2B5EF4-FFF2-40B4-BE49-F238E27FC236}">
              <a16:creationId xmlns:a16="http://schemas.microsoft.com/office/drawing/2014/main" id="{7CBEE26B-838A-4C66-84A7-61AE34D926D6}"/>
            </a:ext>
          </a:extLst>
        </xdr:cNvPr>
        <xdr:cNvSpPr txBox="1"/>
      </xdr:nvSpPr>
      <xdr:spPr>
        <a:xfrm>
          <a:off x="11560042" y="1254463"/>
          <a:ext cx="893463" cy="24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Build</a:t>
          </a:r>
        </a:p>
      </xdr:txBody>
    </xdr:sp>
    <xdr:clientData/>
  </xdr:twoCellAnchor>
  <xdr:twoCellAnchor>
    <xdr:from>
      <xdr:col>31</xdr:col>
      <xdr:colOff>83341</xdr:colOff>
      <xdr:row>8</xdr:row>
      <xdr:rowOff>80122</xdr:rowOff>
    </xdr:from>
    <xdr:to>
      <xdr:col>32</xdr:col>
      <xdr:colOff>279391</xdr:colOff>
      <xdr:row>10</xdr:row>
      <xdr:rowOff>33274</xdr:rowOff>
    </xdr:to>
    <xdr:sp macro="" textlink="">
      <xdr:nvSpPr>
        <xdr:cNvPr id="63" name="TextBox 62">
          <a:extLst>
            <a:ext uri="{FF2B5EF4-FFF2-40B4-BE49-F238E27FC236}">
              <a16:creationId xmlns:a16="http://schemas.microsoft.com/office/drawing/2014/main" id="{E1D94ADC-35E5-42AB-8E1A-E15567C45B95}"/>
            </a:ext>
          </a:extLst>
        </xdr:cNvPr>
        <xdr:cNvSpPr txBox="1"/>
      </xdr:nvSpPr>
      <xdr:spPr>
        <a:xfrm>
          <a:off x="10989466" y="1254872"/>
          <a:ext cx="640550" cy="24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Flow</a:t>
          </a:r>
        </a:p>
      </xdr:txBody>
    </xdr:sp>
    <xdr:clientData/>
  </xdr:twoCellAnchor>
  <xdr:twoCellAnchor>
    <xdr:from>
      <xdr:col>0</xdr:col>
      <xdr:colOff>0</xdr:colOff>
      <xdr:row>22</xdr:row>
      <xdr:rowOff>110434</xdr:rowOff>
    </xdr:from>
    <xdr:to>
      <xdr:col>8</xdr:col>
      <xdr:colOff>22087</xdr:colOff>
      <xdr:row>35</xdr:row>
      <xdr:rowOff>82826</xdr:rowOff>
    </xdr:to>
    <xdr:graphicFrame macro="">
      <xdr:nvGraphicFramePr>
        <xdr:cNvPr id="64" name="Chart 63">
          <a:extLst>
            <a:ext uri="{FF2B5EF4-FFF2-40B4-BE49-F238E27FC236}">
              <a16:creationId xmlns:a16="http://schemas.microsoft.com/office/drawing/2014/main" id="{47BBA23A-E39F-11DB-0308-FB714EED3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174993</xdr:colOff>
      <xdr:row>24</xdr:row>
      <xdr:rowOff>92694</xdr:rowOff>
    </xdr:from>
    <xdr:to>
      <xdr:col>9</xdr:col>
      <xdr:colOff>171450</xdr:colOff>
      <xdr:row>25</xdr:row>
      <xdr:rowOff>76200</xdr:rowOff>
    </xdr:to>
    <xdr:sp macro="" textlink="">
      <xdr:nvSpPr>
        <xdr:cNvPr id="66" name="TextBox 65">
          <a:extLst>
            <a:ext uri="{FF2B5EF4-FFF2-40B4-BE49-F238E27FC236}">
              <a16:creationId xmlns:a16="http://schemas.microsoft.com/office/drawing/2014/main" id="{DF7EB92A-6BE7-4684-B9F0-C63FA4AC0495}"/>
            </a:ext>
          </a:extLst>
        </xdr:cNvPr>
        <xdr:cNvSpPr txBox="1"/>
      </xdr:nvSpPr>
      <xdr:spPr>
        <a:xfrm>
          <a:off x="2962643" y="3597894"/>
          <a:ext cx="885457" cy="129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700"/>
            <a:t>U</a:t>
          </a:r>
          <a:r>
            <a:rPr lang="en-US" sz="700" baseline="0"/>
            <a:t>S Equities</a:t>
          </a:r>
        </a:p>
        <a:p>
          <a:pPr algn="l"/>
          <a:r>
            <a:rPr lang="en-US" sz="700"/>
            <a:t>	</a:t>
          </a:r>
        </a:p>
      </xdr:txBody>
    </xdr:sp>
    <xdr:clientData/>
  </xdr:twoCellAnchor>
  <xdr:twoCellAnchor>
    <xdr:from>
      <xdr:col>10</xdr:col>
      <xdr:colOff>343488</xdr:colOff>
      <xdr:row>24</xdr:row>
      <xdr:rowOff>111125</xdr:rowOff>
    </xdr:from>
    <xdr:to>
      <xdr:col>11</xdr:col>
      <xdr:colOff>42556</xdr:colOff>
      <xdr:row>25</xdr:row>
      <xdr:rowOff>83518</xdr:rowOff>
    </xdr:to>
    <xdr:sp macro="" textlink="">
      <xdr:nvSpPr>
        <xdr:cNvPr id="67" name="Isosceles Triangle 66">
          <a:extLst>
            <a:ext uri="{FF2B5EF4-FFF2-40B4-BE49-F238E27FC236}">
              <a16:creationId xmlns:a16="http://schemas.microsoft.com/office/drawing/2014/main" id="{74FDD80F-CCA3-47A0-F470-BCB1E9A62D5A}"/>
            </a:ext>
          </a:extLst>
        </xdr:cNvPr>
        <xdr:cNvSpPr/>
      </xdr:nvSpPr>
      <xdr:spPr>
        <a:xfrm rot="10800000">
          <a:off x="4463051" y="3635375"/>
          <a:ext cx="143568" cy="119237"/>
        </a:xfrm>
        <a:prstGeom prst="triangl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155574</xdr:colOff>
      <xdr:row>0</xdr:row>
      <xdr:rowOff>82550</xdr:rowOff>
    </xdr:from>
    <xdr:to>
      <xdr:col>25</xdr:col>
      <xdr:colOff>501649</xdr:colOff>
      <xdr:row>13</xdr:row>
      <xdr:rowOff>19050</xdr:rowOff>
    </xdr:to>
    <xdr:graphicFrame macro="">
      <xdr:nvGraphicFramePr>
        <xdr:cNvPr id="3" name="Chart 2">
          <a:extLst>
            <a:ext uri="{FF2B5EF4-FFF2-40B4-BE49-F238E27FC236}">
              <a16:creationId xmlns:a16="http://schemas.microsoft.com/office/drawing/2014/main" id="{2B11A80F-BD42-C847-F355-735398D98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285750</xdr:colOff>
      <xdr:row>0</xdr:row>
      <xdr:rowOff>0</xdr:rowOff>
    </xdr:from>
    <xdr:to>
      <xdr:col>36</xdr:col>
      <xdr:colOff>28575</xdr:colOff>
      <xdr:row>13</xdr:row>
      <xdr:rowOff>15875</xdr:rowOff>
    </xdr:to>
    <xdr:graphicFrame macro="">
      <xdr:nvGraphicFramePr>
        <xdr:cNvPr id="5" name="Chart 4">
          <a:extLst>
            <a:ext uri="{FF2B5EF4-FFF2-40B4-BE49-F238E27FC236}">
              <a16:creationId xmlns:a16="http://schemas.microsoft.com/office/drawing/2014/main" id="{1795099C-4849-4B8B-9E00-D30B50070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14</xdr:row>
      <xdr:rowOff>0</xdr:rowOff>
    </xdr:from>
    <xdr:to>
      <xdr:col>25</xdr:col>
      <xdr:colOff>346075</xdr:colOff>
      <xdr:row>26</xdr:row>
      <xdr:rowOff>127000</xdr:rowOff>
    </xdr:to>
    <xdr:graphicFrame macro="">
      <xdr:nvGraphicFramePr>
        <xdr:cNvPr id="2" name="Chart 1">
          <a:extLst>
            <a:ext uri="{FF2B5EF4-FFF2-40B4-BE49-F238E27FC236}">
              <a16:creationId xmlns:a16="http://schemas.microsoft.com/office/drawing/2014/main" id="{25A47135-9358-4432-A27F-198C183D2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98425</xdr:colOff>
      <xdr:row>14</xdr:row>
      <xdr:rowOff>69850</xdr:rowOff>
    </xdr:from>
    <xdr:to>
      <xdr:col>35</xdr:col>
      <xdr:colOff>444500</xdr:colOff>
      <xdr:row>26</xdr:row>
      <xdr:rowOff>111125</xdr:rowOff>
    </xdr:to>
    <xdr:graphicFrame macro="">
      <xdr:nvGraphicFramePr>
        <xdr:cNvPr id="7" name="Chart 6">
          <a:extLst>
            <a:ext uri="{FF2B5EF4-FFF2-40B4-BE49-F238E27FC236}">
              <a16:creationId xmlns:a16="http://schemas.microsoft.com/office/drawing/2014/main" id="{5EBFD9BF-937F-4D5E-A185-5DAF8F41D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24</xdr:row>
      <xdr:rowOff>81642</xdr:rowOff>
    </xdr:from>
    <xdr:to>
      <xdr:col>12</xdr:col>
      <xdr:colOff>95703</xdr:colOff>
      <xdr:row>42</xdr:row>
      <xdr:rowOff>81642</xdr:rowOff>
    </xdr:to>
    <xdr:graphicFrame macro="">
      <xdr:nvGraphicFramePr>
        <xdr:cNvPr id="2" name="Chart 1">
          <a:extLst>
            <a:ext uri="{FF2B5EF4-FFF2-40B4-BE49-F238E27FC236}">
              <a16:creationId xmlns:a16="http://schemas.microsoft.com/office/drawing/2014/main" id="{50C43058-5572-3446-B74E-65CCF5F57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571499</xdr:colOff>
      <xdr:row>28</xdr:row>
      <xdr:rowOff>146956</xdr:rowOff>
    </xdr:from>
    <xdr:to>
      <xdr:col>2</xdr:col>
      <xdr:colOff>190500</xdr:colOff>
      <xdr:row>29</xdr:row>
      <xdr:rowOff>72571</xdr:rowOff>
    </xdr:to>
    <xdr:sp macro="" textlink="$C$19">
      <xdr:nvSpPr>
        <xdr:cNvPr id="3" name="TextBox 2">
          <a:extLst>
            <a:ext uri="{FF2B5EF4-FFF2-40B4-BE49-F238E27FC236}">
              <a16:creationId xmlns:a16="http://schemas.microsoft.com/office/drawing/2014/main" id="{14427AB7-4499-BD4F-CD01-4B01AE99BECD}"/>
            </a:ext>
          </a:extLst>
        </xdr:cNvPr>
        <xdr:cNvSpPr txBox="1"/>
      </xdr:nvSpPr>
      <xdr:spPr>
        <a:xfrm>
          <a:off x="1170213" y="5880099"/>
          <a:ext cx="734787" cy="215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38199B-D69B-4C1D-838E-FFD2659753A2}" type="TxLink">
            <a:rPr lang="en-US" sz="1100" b="0" i="0" u="none" strike="noStrike">
              <a:solidFill>
                <a:srgbClr val="000000"/>
              </a:solidFill>
              <a:latin typeface="Aptos Narrow"/>
            </a:rPr>
            <a:pPr/>
            <a:t>+$57,170 </a:t>
          </a:fld>
          <a:endParaRPr lang="en-US" sz="1100"/>
        </a:p>
      </xdr:txBody>
    </xdr:sp>
    <xdr:clientData/>
  </xdr:twoCellAnchor>
  <xdr:twoCellAnchor>
    <xdr:from>
      <xdr:col>2</xdr:col>
      <xdr:colOff>197757</xdr:colOff>
      <xdr:row>28</xdr:row>
      <xdr:rowOff>172356</xdr:rowOff>
    </xdr:from>
    <xdr:to>
      <xdr:col>2</xdr:col>
      <xdr:colOff>932543</xdr:colOff>
      <xdr:row>29</xdr:row>
      <xdr:rowOff>97971</xdr:rowOff>
    </xdr:to>
    <xdr:sp macro="" textlink="$D$19">
      <xdr:nvSpPr>
        <xdr:cNvPr id="8" name="TextBox 7">
          <a:extLst>
            <a:ext uri="{FF2B5EF4-FFF2-40B4-BE49-F238E27FC236}">
              <a16:creationId xmlns:a16="http://schemas.microsoft.com/office/drawing/2014/main" id="{D3A50574-09FB-4788-8665-EDD501D52259}"/>
            </a:ext>
          </a:extLst>
        </xdr:cNvPr>
        <xdr:cNvSpPr txBox="1"/>
      </xdr:nvSpPr>
      <xdr:spPr>
        <a:xfrm>
          <a:off x="1912257" y="5905499"/>
          <a:ext cx="734786" cy="215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BFF533-C713-4CA3-8C68-96D4BCA1A24F}" type="TxLink">
            <a:rPr lang="en-US" sz="1100" b="0" i="0" u="none" strike="noStrike">
              <a:solidFill>
                <a:srgbClr val="000000"/>
              </a:solidFill>
              <a:latin typeface="Aptos Narrow"/>
            </a:rPr>
            <a:pPr/>
            <a:t>-$62,818</a:t>
          </a:fld>
          <a:endParaRPr lang="en-US" sz="1100"/>
        </a:p>
      </xdr:txBody>
    </xdr:sp>
    <xdr:clientData/>
  </xdr:twoCellAnchor>
  <xdr:twoCellAnchor>
    <xdr:from>
      <xdr:col>2</xdr:col>
      <xdr:colOff>876300</xdr:colOff>
      <xdr:row>30</xdr:row>
      <xdr:rowOff>108857</xdr:rowOff>
    </xdr:from>
    <xdr:to>
      <xdr:col>3</xdr:col>
      <xdr:colOff>495300</xdr:colOff>
      <xdr:row>31</xdr:row>
      <xdr:rowOff>132445</xdr:rowOff>
    </xdr:to>
    <xdr:sp macro="" textlink="$E$19">
      <xdr:nvSpPr>
        <xdr:cNvPr id="9" name="TextBox 8">
          <a:extLst>
            <a:ext uri="{FF2B5EF4-FFF2-40B4-BE49-F238E27FC236}">
              <a16:creationId xmlns:a16="http://schemas.microsoft.com/office/drawing/2014/main" id="{01E0BC0B-1CA1-4199-A981-112F0CD3D585}"/>
            </a:ext>
          </a:extLst>
        </xdr:cNvPr>
        <xdr:cNvSpPr txBox="1"/>
      </xdr:nvSpPr>
      <xdr:spPr>
        <a:xfrm>
          <a:off x="2590800" y="6422571"/>
          <a:ext cx="734786" cy="313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208380-3557-49DD-9387-D822D317964F}" type="TxLink">
            <a:rPr lang="en-US" sz="1100" b="0" i="0" u="none" strike="noStrike">
              <a:solidFill>
                <a:srgbClr val="000000"/>
              </a:solidFill>
              <a:latin typeface="Aptos Narrow"/>
            </a:rPr>
            <a:pPr/>
            <a:t>-$17,500</a:t>
          </a:fld>
          <a:endParaRPr lang="en-US" sz="1100"/>
        </a:p>
      </xdr:txBody>
    </xdr:sp>
    <xdr:clientData/>
  </xdr:twoCellAnchor>
  <xdr:twoCellAnchor>
    <xdr:from>
      <xdr:col>4</xdr:col>
      <xdr:colOff>67128</xdr:colOff>
      <xdr:row>29</xdr:row>
      <xdr:rowOff>83358</xdr:rowOff>
    </xdr:from>
    <xdr:to>
      <xdr:col>4</xdr:col>
      <xdr:colOff>801914</xdr:colOff>
      <xdr:row>30</xdr:row>
      <xdr:rowOff>85273</xdr:rowOff>
    </xdr:to>
    <xdr:sp macro="" textlink="$G$19">
      <xdr:nvSpPr>
        <xdr:cNvPr id="10" name="TextBox 9">
          <a:extLst>
            <a:ext uri="{FF2B5EF4-FFF2-40B4-BE49-F238E27FC236}">
              <a16:creationId xmlns:a16="http://schemas.microsoft.com/office/drawing/2014/main" id="{2114BFFB-69FE-4BC0-8356-732CF25A8306}"/>
            </a:ext>
          </a:extLst>
        </xdr:cNvPr>
        <xdr:cNvSpPr txBox="1"/>
      </xdr:nvSpPr>
      <xdr:spPr>
        <a:xfrm>
          <a:off x="4013199" y="6106787"/>
          <a:ext cx="734786" cy="292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1A4B5A-81D5-484E-B381-97991FF9CD23}" type="TxLink">
            <a:rPr lang="en-US" sz="1100" b="0" i="0" u="none" strike="noStrike">
              <a:solidFill>
                <a:srgbClr val="000000"/>
              </a:solidFill>
              <a:latin typeface="Aptos Narrow"/>
            </a:rPr>
            <a:pPr/>
            <a:t>+$56,798 </a:t>
          </a:fld>
          <a:endParaRPr lang="en-US" sz="1100"/>
        </a:p>
      </xdr:txBody>
    </xdr:sp>
    <xdr:clientData/>
  </xdr:twoCellAnchor>
  <xdr:twoCellAnchor>
    <xdr:from>
      <xdr:col>4</xdr:col>
      <xdr:colOff>791028</xdr:colOff>
      <xdr:row>29</xdr:row>
      <xdr:rowOff>127000</xdr:rowOff>
    </xdr:from>
    <xdr:to>
      <xdr:col>5</xdr:col>
      <xdr:colOff>410028</xdr:colOff>
      <xdr:row>30</xdr:row>
      <xdr:rowOff>210459</xdr:rowOff>
    </xdr:to>
    <xdr:sp macro="" textlink="$H$19">
      <xdr:nvSpPr>
        <xdr:cNvPr id="11" name="TextBox 10">
          <a:extLst>
            <a:ext uri="{FF2B5EF4-FFF2-40B4-BE49-F238E27FC236}">
              <a16:creationId xmlns:a16="http://schemas.microsoft.com/office/drawing/2014/main" id="{CD04A18B-A7C0-43D1-AF41-1E35E40E83E2}"/>
            </a:ext>
          </a:extLst>
        </xdr:cNvPr>
        <xdr:cNvSpPr txBox="1"/>
      </xdr:nvSpPr>
      <xdr:spPr>
        <a:xfrm>
          <a:off x="4737099" y="6150429"/>
          <a:ext cx="734786" cy="373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49B1FC-9461-4613-905F-FA0567F55B06}" type="TxLink">
            <a:rPr lang="en-US" sz="1100" b="0" i="0" u="none" strike="noStrike">
              <a:solidFill>
                <a:srgbClr val="000000"/>
              </a:solidFill>
              <a:latin typeface="Aptos Narrow"/>
            </a:rPr>
            <a:pPr/>
            <a:t>-$67,818</a:t>
          </a:fld>
          <a:endParaRPr lang="en-US" sz="1100"/>
        </a:p>
      </xdr:txBody>
    </xdr:sp>
    <xdr:clientData/>
  </xdr:twoCellAnchor>
  <xdr:twoCellAnchor>
    <xdr:from>
      <xdr:col>5</xdr:col>
      <xdr:colOff>417286</xdr:colOff>
      <xdr:row>31</xdr:row>
      <xdr:rowOff>27215</xdr:rowOff>
    </xdr:from>
    <xdr:to>
      <xdr:col>6</xdr:col>
      <xdr:colOff>36287</xdr:colOff>
      <xdr:row>32</xdr:row>
      <xdr:rowOff>127001</xdr:rowOff>
    </xdr:to>
    <xdr:sp macro="" textlink="$I$19">
      <xdr:nvSpPr>
        <xdr:cNvPr id="12" name="TextBox 11">
          <a:extLst>
            <a:ext uri="{FF2B5EF4-FFF2-40B4-BE49-F238E27FC236}">
              <a16:creationId xmlns:a16="http://schemas.microsoft.com/office/drawing/2014/main" id="{D46FC788-E647-41AC-9654-3769C3DAF95A}"/>
            </a:ext>
          </a:extLst>
        </xdr:cNvPr>
        <xdr:cNvSpPr txBox="1"/>
      </xdr:nvSpPr>
      <xdr:spPr>
        <a:xfrm>
          <a:off x="5479143" y="6631215"/>
          <a:ext cx="73478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A14882-A8B8-4C50-9229-8B3FF0FB0AA2}" type="TxLink">
            <a:rPr lang="en-US" sz="1100" b="0" i="0" u="none" strike="noStrike">
              <a:solidFill>
                <a:srgbClr val="000000"/>
              </a:solidFill>
              <a:latin typeface="Aptos Narrow"/>
            </a:rPr>
            <a:pPr/>
            <a:t>-$45,000</a:t>
          </a:fld>
          <a:endParaRPr lang="en-US" sz="1100"/>
        </a:p>
      </xdr:txBody>
    </xdr:sp>
    <xdr:clientData/>
  </xdr:twoCellAnchor>
  <xdr:twoCellAnchor>
    <xdr:from>
      <xdr:col>6</xdr:col>
      <xdr:colOff>696687</xdr:colOff>
      <xdr:row>30</xdr:row>
      <xdr:rowOff>255816</xdr:rowOff>
    </xdr:from>
    <xdr:to>
      <xdr:col>7</xdr:col>
      <xdr:colOff>315687</xdr:colOff>
      <xdr:row>32</xdr:row>
      <xdr:rowOff>107044</xdr:rowOff>
    </xdr:to>
    <xdr:sp macro="" textlink="$K$19">
      <xdr:nvSpPr>
        <xdr:cNvPr id="13" name="TextBox 12">
          <a:extLst>
            <a:ext uri="{FF2B5EF4-FFF2-40B4-BE49-F238E27FC236}">
              <a16:creationId xmlns:a16="http://schemas.microsoft.com/office/drawing/2014/main" id="{0B247B56-2AE5-4D2A-BD8E-C24BA92DACD0}"/>
            </a:ext>
          </a:extLst>
        </xdr:cNvPr>
        <xdr:cNvSpPr txBox="1"/>
      </xdr:nvSpPr>
      <xdr:spPr>
        <a:xfrm>
          <a:off x="6874330" y="6569530"/>
          <a:ext cx="734786"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1C2FC3-156D-4C8D-B4D2-EF22D3256810}" type="TxLink">
            <a:rPr lang="en-US" sz="1100" b="0" i="0" u="none" strike="noStrike">
              <a:solidFill>
                <a:srgbClr val="000000"/>
              </a:solidFill>
              <a:latin typeface="Aptos Narrow"/>
            </a:rPr>
            <a:pPr/>
            <a:t>+$56,546 </a:t>
          </a:fld>
          <a:endParaRPr lang="en-US" sz="1100"/>
        </a:p>
      </xdr:txBody>
    </xdr:sp>
    <xdr:clientData/>
  </xdr:twoCellAnchor>
  <xdr:twoCellAnchor>
    <xdr:from>
      <xdr:col>7</xdr:col>
      <xdr:colOff>332015</xdr:colOff>
      <xdr:row>30</xdr:row>
      <xdr:rowOff>281215</xdr:rowOff>
    </xdr:from>
    <xdr:to>
      <xdr:col>7</xdr:col>
      <xdr:colOff>1066800</xdr:colOff>
      <xdr:row>32</xdr:row>
      <xdr:rowOff>132443</xdr:rowOff>
    </xdr:to>
    <xdr:sp macro="" textlink="$L$19">
      <xdr:nvSpPr>
        <xdr:cNvPr id="14" name="TextBox 13">
          <a:extLst>
            <a:ext uri="{FF2B5EF4-FFF2-40B4-BE49-F238E27FC236}">
              <a16:creationId xmlns:a16="http://schemas.microsoft.com/office/drawing/2014/main" id="{A68BA4F7-3282-4FCC-991F-E8FB5C741AAC}"/>
            </a:ext>
          </a:extLst>
        </xdr:cNvPr>
        <xdr:cNvSpPr txBox="1"/>
      </xdr:nvSpPr>
      <xdr:spPr>
        <a:xfrm>
          <a:off x="7625444" y="6594929"/>
          <a:ext cx="734785"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38BCD9-B7E2-4EF3-BB36-A6496BD16591}" type="TxLink">
            <a:rPr lang="en-US" sz="1100" b="0" i="0" u="none" strike="noStrike">
              <a:solidFill>
                <a:srgbClr val="000000"/>
              </a:solidFill>
              <a:latin typeface="Aptos Narrow"/>
            </a:rPr>
            <a:pPr/>
            <a:t>-$64,818</a:t>
          </a:fld>
          <a:endParaRPr lang="en-US" sz="1100"/>
        </a:p>
      </xdr:txBody>
    </xdr:sp>
    <xdr:clientData/>
  </xdr:twoCellAnchor>
  <xdr:twoCellAnchor>
    <xdr:from>
      <xdr:col>7</xdr:col>
      <xdr:colOff>1066799</xdr:colOff>
      <xdr:row>32</xdr:row>
      <xdr:rowOff>277586</xdr:rowOff>
    </xdr:from>
    <xdr:to>
      <xdr:col>8</xdr:col>
      <xdr:colOff>685800</xdr:colOff>
      <xdr:row>34</xdr:row>
      <xdr:rowOff>87086</xdr:rowOff>
    </xdr:to>
    <xdr:sp macro="" textlink="$M$19">
      <xdr:nvSpPr>
        <xdr:cNvPr id="15" name="TextBox 14">
          <a:extLst>
            <a:ext uri="{FF2B5EF4-FFF2-40B4-BE49-F238E27FC236}">
              <a16:creationId xmlns:a16="http://schemas.microsoft.com/office/drawing/2014/main" id="{A04D66B1-3FE7-4858-9D7F-CDBC80F75399}"/>
            </a:ext>
          </a:extLst>
        </xdr:cNvPr>
        <xdr:cNvSpPr txBox="1"/>
      </xdr:nvSpPr>
      <xdr:spPr>
        <a:xfrm>
          <a:off x="8360228" y="7171872"/>
          <a:ext cx="734786" cy="39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68B1F1-669E-4208-82BF-532734C59F03}" type="TxLink">
            <a:rPr lang="en-US" sz="1100" b="0" i="0" u="none" strike="noStrike">
              <a:solidFill>
                <a:srgbClr val="000000"/>
              </a:solidFill>
              <a:latin typeface="Aptos Narrow"/>
            </a:rPr>
            <a:pPr/>
            <a:t>-$32,500</a:t>
          </a:fld>
          <a:endParaRPr lang="en-US" sz="1100"/>
        </a:p>
      </xdr:txBody>
    </xdr:sp>
    <xdr:clientData/>
  </xdr:twoCellAnchor>
  <xdr:twoCellAnchor>
    <xdr:from>
      <xdr:col>9</xdr:col>
      <xdr:colOff>154215</xdr:colOff>
      <xdr:row>25</xdr:row>
      <xdr:rowOff>190500</xdr:rowOff>
    </xdr:from>
    <xdr:to>
      <xdr:col>9</xdr:col>
      <xdr:colOff>974273</xdr:colOff>
      <xdr:row>26</xdr:row>
      <xdr:rowOff>203203</xdr:rowOff>
    </xdr:to>
    <xdr:sp macro="" textlink="$O$19">
      <xdr:nvSpPr>
        <xdr:cNvPr id="16" name="TextBox 15">
          <a:extLst>
            <a:ext uri="{FF2B5EF4-FFF2-40B4-BE49-F238E27FC236}">
              <a16:creationId xmlns:a16="http://schemas.microsoft.com/office/drawing/2014/main" id="{6AF66132-A024-4421-B195-B7C66ED48DF6}"/>
            </a:ext>
          </a:extLst>
        </xdr:cNvPr>
        <xdr:cNvSpPr txBox="1"/>
      </xdr:nvSpPr>
      <xdr:spPr>
        <a:xfrm>
          <a:off x="9679215" y="5052786"/>
          <a:ext cx="820058" cy="302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D006B-2287-422C-9669-AE8B707CCB0B}" type="TxLink">
            <a:rPr lang="en-US" sz="1100" b="0" i="0" u="none" strike="noStrike">
              <a:solidFill>
                <a:srgbClr val="000000"/>
              </a:solidFill>
              <a:latin typeface="Aptos Narrow"/>
            </a:rPr>
            <a:pPr/>
            <a:t>+$279,158 </a:t>
          </a:fld>
          <a:endParaRPr lang="en-US" sz="1100"/>
        </a:p>
      </xdr:txBody>
    </xdr:sp>
    <xdr:clientData/>
  </xdr:twoCellAnchor>
  <xdr:twoCellAnchor>
    <xdr:from>
      <xdr:col>9</xdr:col>
      <xdr:colOff>892629</xdr:colOff>
      <xdr:row>25</xdr:row>
      <xdr:rowOff>175953</xdr:rowOff>
    </xdr:from>
    <xdr:to>
      <xdr:col>10</xdr:col>
      <xdr:colOff>511629</xdr:colOff>
      <xdr:row>26</xdr:row>
      <xdr:rowOff>175987</xdr:rowOff>
    </xdr:to>
    <xdr:sp macro="" textlink="$P$19">
      <xdr:nvSpPr>
        <xdr:cNvPr id="17" name="TextBox 16">
          <a:extLst>
            <a:ext uri="{FF2B5EF4-FFF2-40B4-BE49-F238E27FC236}">
              <a16:creationId xmlns:a16="http://schemas.microsoft.com/office/drawing/2014/main" id="{7CF867AE-FBF3-4CC4-FB1D-FC6E16F786A4}"/>
            </a:ext>
          </a:extLst>
        </xdr:cNvPr>
        <xdr:cNvSpPr txBox="1"/>
      </xdr:nvSpPr>
      <xdr:spPr>
        <a:xfrm>
          <a:off x="10417629" y="5038239"/>
          <a:ext cx="734786" cy="290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350B62-7F93-490A-9C1F-8E9B061132D4}" type="TxLink">
            <a:rPr lang="en-US" sz="1100" b="0" i="0" u="none" strike="noStrike">
              <a:solidFill>
                <a:srgbClr val="000000"/>
              </a:solidFill>
              <a:latin typeface="Aptos Narrow"/>
            </a:rPr>
            <a:pPr/>
            <a:t>-$74,575</a:t>
          </a:fld>
          <a:endParaRPr lang="en-US" sz="1100"/>
        </a:p>
      </xdr:txBody>
    </xdr:sp>
    <xdr:clientData/>
  </xdr:twoCellAnchor>
  <xdr:twoCellAnchor>
    <xdr:from>
      <xdr:col>10</xdr:col>
      <xdr:colOff>537029</xdr:colOff>
      <xdr:row>28</xdr:row>
      <xdr:rowOff>1625</xdr:rowOff>
    </xdr:from>
    <xdr:to>
      <xdr:col>11</xdr:col>
      <xdr:colOff>156029</xdr:colOff>
      <xdr:row>28</xdr:row>
      <xdr:rowOff>228602</xdr:rowOff>
    </xdr:to>
    <xdr:sp macro="" textlink="$Q$19">
      <xdr:nvSpPr>
        <xdr:cNvPr id="18" name="TextBox 17">
          <a:extLst>
            <a:ext uri="{FF2B5EF4-FFF2-40B4-BE49-F238E27FC236}">
              <a16:creationId xmlns:a16="http://schemas.microsoft.com/office/drawing/2014/main" id="{432CED02-8896-4DA4-888D-ECEF99CEBE29}"/>
            </a:ext>
          </a:extLst>
        </xdr:cNvPr>
        <xdr:cNvSpPr txBox="1"/>
      </xdr:nvSpPr>
      <xdr:spPr>
        <a:xfrm>
          <a:off x="11177815" y="5734768"/>
          <a:ext cx="734785" cy="226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A4A037-CB02-4282-9332-35254EE6876C}" type="TxLink">
            <a:rPr lang="en-US" sz="1100" b="0" i="0" u="none" strike="noStrike">
              <a:solidFill>
                <a:srgbClr val="000000"/>
              </a:solidFill>
              <a:latin typeface="Aptos Narrow"/>
            </a:rPr>
            <a:pPr/>
            <a:t>-$19,697</a:t>
          </a:fld>
          <a:endParaRPr lang="en-US" sz="1100"/>
        </a:p>
      </xdr:txBody>
    </xdr:sp>
    <xdr:clientData/>
  </xdr:twoCellAnchor>
  <xdr:twoCellAnchor>
    <xdr:from>
      <xdr:col>14</xdr:col>
      <xdr:colOff>2</xdr:colOff>
      <xdr:row>26</xdr:row>
      <xdr:rowOff>76200</xdr:rowOff>
    </xdr:from>
    <xdr:to>
      <xdr:col>20</xdr:col>
      <xdr:colOff>485775</xdr:colOff>
      <xdr:row>37</xdr:row>
      <xdr:rowOff>161925</xdr:rowOff>
    </xdr:to>
    <xdr:graphicFrame macro="">
      <xdr:nvGraphicFramePr>
        <xdr:cNvPr id="4" name="Chart 3">
          <a:extLst>
            <a:ext uri="{FF2B5EF4-FFF2-40B4-BE49-F238E27FC236}">
              <a16:creationId xmlns:a16="http://schemas.microsoft.com/office/drawing/2014/main" id="{130901F5-ADD2-4D3D-B492-3CA3C9B9C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0.46199</cdr:x>
      <cdr:y>0.04217</cdr:y>
    </cdr:from>
    <cdr:to>
      <cdr:x>0.57086</cdr:x>
      <cdr:y>0.1183</cdr:y>
    </cdr:to>
    <cdr:sp macro="" textlink="'Cash Flow Walk'!$V$19">
      <cdr:nvSpPr>
        <cdr:cNvPr id="2" name="TextBox 2">
          <a:extLst xmlns:a="http://schemas.openxmlformats.org/drawingml/2006/main">
            <a:ext uri="{FF2B5EF4-FFF2-40B4-BE49-F238E27FC236}">
              <a16:creationId xmlns:a16="http://schemas.microsoft.com/office/drawing/2014/main" id="{14427AB7-4499-BD4F-CD01-4B01AE99BECD}"/>
            </a:ext>
          </a:extLst>
        </cdr:cNvPr>
        <cdr:cNvSpPr txBox="1"/>
      </cdr:nvSpPr>
      <cdr:spPr>
        <a:xfrm xmlns:a="http://schemas.openxmlformats.org/drawingml/2006/main">
          <a:off x="3201397" y="138096"/>
          <a:ext cx="754483" cy="2492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49AD4073-62B5-4489-A3BE-C7385BC6E472}" type="TxLink">
            <a:rPr lang="en-US" sz="1400" b="0" i="0" u="none" strike="noStrike">
              <a:solidFill>
                <a:srgbClr val="000000"/>
              </a:solidFill>
              <a:latin typeface="Aptos Narrow"/>
            </a:rPr>
            <a:pPr/>
            <a:t>-$270K</a:t>
          </a:fld>
          <a:endParaRPr lang="en-US" sz="1400"/>
        </a:p>
      </cdr:txBody>
    </cdr:sp>
  </cdr:relSizeAnchor>
  <cdr:relSizeAnchor xmlns:cdr="http://schemas.openxmlformats.org/drawingml/2006/chartDrawing">
    <cdr:from>
      <cdr:x>0.27018</cdr:x>
      <cdr:y>0.04038</cdr:y>
    </cdr:from>
    <cdr:to>
      <cdr:x>0.37606</cdr:x>
      <cdr:y>0.12103</cdr:y>
    </cdr:to>
    <cdr:sp macro="" textlink="'Cash Flow Walk'!$U$19">
      <cdr:nvSpPr>
        <cdr:cNvPr id="3" name="TextBox 2">
          <a:extLst xmlns:a="http://schemas.openxmlformats.org/drawingml/2006/main">
            <a:ext uri="{FF2B5EF4-FFF2-40B4-BE49-F238E27FC236}">
              <a16:creationId xmlns:a16="http://schemas.microsoft.com/office/drawing/2014/main" id="{14427AB7-4499-BD4F-CD01-4B01AE99BECD}"/>
            </a:ext>
          </a:extLst>
        </cdr:cNvPr>
        <cdr:cNvSpPr txBox="1"/>
      </cdr:nvSpPr>
      <cdr:spPr>
        <a:xfrm xmlns:a="http://schemas.openxmlformats.org/drawingml/2006/main">
          <a:off x="1872280" y="132230"/>
          <a:ext cx="733656" cy="26409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14AB9DED-1EFB-4C27-BB50-2D3EA2639121}" type="TxLink">
            <a:rPr lang="en-US" sz="1400" b="0" i="0" u="none" strike="noStrike">
              <a:solidFill>
                <a:srgbClr val="000000"/>
              </a:solidFill>
              <a:latin typeface="Aptos Narrow"/>
            </a:rPr>
            <a:pPr/>
            <a:t>$451K </a:t>
          </a:fld>
          <a:endParaRPr lang="en-US" sz="1400"/>
        </a:p>
      </cdr:txBody>
    </cdr:sp>
  </cdr:relSizeAnchor>
  <cdr:relSizeAnchor xmlns:cdr="http://schemas.openxmlformats.org/drawingml/2006/chartDrawing">
    <cdr:from>
      <cdr:x>0.65038</cdr:x>
      <cdr:y>0.33244</cdr:y>
    </cdr:from>
    <cdr:to>
      <cdr:x>0.76159</cdr:x>
      <cdr:y>0.41412</cdr:y>
    </cdr:to>
    <cdr:sp macro="" textlink="'Cash Flow Walk'!$W$19">
      <cdr:nvSpPr>
        <cdr:cNvPr id="4" name="TextBox 2">
          <a:extLst xmlns:a="http://schemas.openxmlformats.org/drawingml/2006/main">
            <a:ext uri="{FF2B5EF4-FFF2-40B4-BE49-F238E27FC236}">
              <a16:creationId xmlns:a16="http://schemas.microsoft.com/office/drawing/2014/main" id="{CE707341-93E4-E7F3-E1FF-B25399374B52}"/>
            </a:ext>
          </a:extLst>
        </cdr:cNvPr>
        <cdr:cNvSpPr txBox="1"/>
      </cdr:nvSpPr>
      <cdr:spPr>
        <a:xfrm xmlns:a="http://schemas.openxmlformats.org/drawingml/2006/main">
          <a:off x="4506880" y="1088581"/>
          <a:ext cx="770645" cy="26748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B6CD1CB-9582-4A63-BD2F-573E445DE130}" type="TxLink">
            <a:rPr lang="en-US" sz="1400" b="0" i="0" u="none" strike="noStrike">
              <a:solidFill>
                <a:srgbClr val="000000"/>
              </a:solidFill>
              <a:latin typeface="Aptos Narrow"/>
            </a:rPr>
            <a:pPr/>
            <a:t>-$115K</a:t>
          </a:fld>
          <a:endParaRPr lang="en-US" sz="1400"/>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9071</xdr:colOff>
      <xdr:row>3</xdr:row>
      <xdr:rowOff>9073</xdr:rowOff>
    </xdr:from>
    <xdr:to>
      <xdr:col>3</xdr:col>
      <xdr:colOff>1485875</xdr:colOff>
      <xdr:row>5</xdr:row>
      <xdr:rowOff>18144</xdr:rowOff>
    </xdr:to>
    <xdr:sp macro="" textlink="">
      <xdr:nvSpPr>
        <xdr:cNvPr id="2" name="Rectangle: Rounded Corners 1">
          <a:extLst>
            <a:ext uri="{FF2B5EF4-FFF2-40B4-BE49-F238E27FC236}">
              <a16:creationId xmlns:a16="http://schemas.microsoft.com/office/drawing/2014/main" id="{C71AF24A-BD1E-4EBD-C599-A92E664DC8BD}"/>
            </a:ext>
          </a:extLst>
        </xdr:cNvPr>
        <xdr:cNvSpPr/>
      </xdr:nvSpPr>
      <xdr:spPr>
        <a:xfrm rot="16200000">
          <a:off x="4620973" y="-1128472"/>
          <a:ext cx="879928" cy="5132590"/>
        </a:xfrm>
        <a:prstGeom prst="roundRect">
          <a:avLst>
            <a:gd name="adj" fmla="val 15872"/>
          </a:avLst>
        </a:prstGeom>
        <a:noFill/>
        <a:ln w="254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27471</xdr:colOff>
      <xdr:row>8</xdr:row>
      <xdr:rowOff>368045</xdr:rowOff>
    </xdr:from>
    <xdr:to>
      <xdr:col>3</xdr:col>
      <xdr:colOff>1496789</xdr:colOff>
      <xdr:row>9</xdr:row>
      <xdr:rowOff>369686</xdr:rowOff>
    </xdr:to>
    <xdr:sp macro="" textlink="">
      <xdr:nvSpPr>
        <xdr:cNvPr id="3" name="Rectangle: Rounded Corners 2">
          <a:extLst>
            <a:ext uri="{FF2B5EF4-FFF2-40B4-BE49-F238E27FC236}">
              <a16:creationId xmlns:a16="http://schemas.microsoft.com/office/drawing/2014/main" id="{91AF6D3D-C39A-4872-AF68-3603A398C05E}"/>
            </a:ext>
          </a:extLst>
        </xdr:cNvPr>
        <xdr:cNvSpPr/>
      </xdr:nvSpPr>
      <xdr:spPr>
        <a:xfrm rot="16200000">
          <a:off x="4884273" y="999457"/>
          <a:ext cx="382641" cy="5125104"/>
        </a:xfrm>
        <a:prstGeom prst="roundRect">
          <a:avLst/>
        </a:prstGeom>
        <a:noFill/>
        <a:ln w="254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394" rtl="0" eaLnBrk="1" latinLnBrk="0" hangingPunct="1">
            <a:defRPr sz="1800" kern="1200">
              <a:solidFill>
                <a:schemeClr val="lt1"/>
              </a:solidFill>
              <a:latin typeface="+mn-lt"/>
              <a:ea typeface="+mn-ea"/>
              <a:cs typeface="+mn-cs"/>
            </a:defRPr>
          </a:lvl1pPr>
          <a:lvl2pPr marL="457197" algn="l" defTabSz="914394" rtl="0" eaLnBrk="1" latinLnBrk="0" hangingPunct="1">
            <a:defRPr sz="1800" kern="1200">
              <a:solidFill>
                <a:schemeClr val="lt1"/>
              </a:solidFill>
              <a:latin typeface="+mn-lt"/>
              <a:ea typeface="+mn-ea"/>
              <a:cs typeface="+mn-cs"/>
            </a:defRPr>
          </a:lvl2pPr>
          <a:lvl3pPr marL="914394" algn="l" defTabSz="914394" rtl="0" eaLnBrk="1" latinLnBrk="0" hangingPunct="1">
            <a:defRPr sz="1800" kern="1200">
              <a:solidFill>
                <a:schemeClr val="lt1"/>
              </a:solidFill>
              <a:latin typeface="+mn-lt"/>
              <a:ea typeface="+mn-ea"/>
              <a:cs typeface="+mn-cs"/>
            </a:defRPr>
          </a:lvl3pPr>
          <a:lvl4pPr marL="1371592" algn="l" defTabSz="914394" rtl="0" eaLnBrk="1" latinLnBrk="0" hangingPunct="1">
            <a:defRPr sz="1800" kern="1200">
              <a:solidFill>
                <a:schemeClr val="lt1"/>
              </a:solidFill>
              <a:latin typeface="+mn-lt"/>
              <a:ea typeface="+mn-ea"/>
              <a:cs typeface="+mn-cs"/>
            </a:defRPr>
          </a:lvl4pPr>
          <a:lvl5pPr marL="1828788" algn="l" defTabSz="914394" rtl="0" eaLnBrk="1" latinLnBrk="0" hangingPunct="1">
            <a:defRPr sz="1800" kern="1200">
              <a:solidFill>
                <a:schemeClr val="lt1"/>
              </a:solidFill>
              <a:latin typeface="+mn-lt"/>
              <a:ea typeface="+mn-ea"/>
              <a:cs typeface="+mn-cs"/>
            </a:defRPr>
          </a:lvl5pPr>
          <a:lvl6pPr marL="2285985" algn="l" defTabSz="914394" rtl="0" eaLnBrk="1" latinLnBrk="0" hangingPunct="1">
            <a:defRPr sz="1800" kern="1200">
              <a:solidFill>
                <a:schemeClr val="lt1"/>
              </a:solidFill>
              <a:latin typeface="+mn-lt"/>
              <a:ea typeface="+mn-ea"/>
              <a:cs typeface="+mn-cs"/>
            </a:defRPr>
          </a:lvl6pPr>
          <a:lvl7pPr marL="2743182" algn="l" defTabSz="914394" rtl="0" eaLnBrk="1" latinLnBrk="0" hangingPunct="1">
            <a:defRPr sz="1800" kern="1200">
              <a:solidFill>
                <a:schemeClr val="lt1"/>
              </a:solidFill>
              <a:latin typeface="+mn-lt"/>
              <a:ea typeface="+mn-ea"/>
              <a:cs typeface="+mn-cs"/>
            </a:defRPr>
          </a:lvl7pPr>
          <a:lvl8pPr marL="3200379" algn="l" defTabSz="914394" rtl="0" eaLnBrk="1" latinLnBrk="0" hangingPunct="1">
            <a:defRPr sz="1800" kern="1200">
              <a:solidFill>
                <a:schemeClr val="lt1"/>
              </a:solidFill>
              <a:latin typeface="+mn-lt"/>
              <a:ea typeface="+mn-ea"/>
              <a:cs typeface="+mn-cs"/>
            </a:defRPr>
          </a:lvl8pPr>
          <a:lvl9pPr marL="3657577" algn="l" defTabSz="914394"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63500</xdr:colOff>
      <xdr:row>3</xdr:row>
      <xdr:rowOff>72574</xdr:rowOff>
    </xdr:from>
    <xdr:to>
      <xdr:col>1</xdr:col>
      <xdr:colOff>662217</xdr:colOff>
      <xdr:row>9</xdr:row>
      <xdr:rowOff>235859</xdr:rowOff>
    </xdr:to>
    <xdr:sp macro="" textlink="">
      <xdr:nvSpPr>
        <xdr:cNvPr id="8" name="Arrow: Right 7">
          <a:extLst>
            <a:ext uri="{FF2B5EF4-FFF2-40B4-BE49-F238E27FC236}">
              <a16:creationId xmlns:a16="http://schemas.microsoft.com/office/drawing/2014/main" id="{19474D4C-3F27-46F9-8C13-92F954ADE4F1}"/>
            </a:ext>
          </a:extLst>
        </xdr:cNvPr>
        <xdr:cNvSpPr/>
      </xdr:nvSpPr>
      <xdr:spPr>
        <a:xfrm rot="16200000">
          <a:off x="1034145" y="2140858"/>
          <a:ext cx="2449285" cy="598717"/>
        </a:xfrm>
        <a:prstGeom prst="rightArrow">
          <a:avLst/>
        </a:prstGeom>
        <a:gradFill flip="none" rotWithShape="1">
          <a:gsLst>
            <a:gs pos="38000">
              <a:srgbClr val="FFFF00"/>
            </a:gs>
            <a:gs pos="21000">
              <a:schemeClr val="accent6"/>
            </a:gs>
            <a:gs pos="99000">
              <a:srgbClr val="C00000"/>
            </a:gs>
            <a:gs pos="60000">
              <a:srgbClr val="C00000"/>
            </a:gs>
            <a:gs pos="100000">
              <a:srgbClr val="C00000"/>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394" rtl="0" eaLnBrk="1" latinLnBrk="0" hangingPunct="1">
            <a:defRPr sz="1100" kern="1200">
              <a:solidFill>
                <a:schemeClr val="lt1"/>
              </a:solidFill>
              <a:latin typeface="+mn-lt"/>
              <a:ea typeface="+mn-ea"/>
              <a:cs typeface="+mn-cs"/>
            </a:defRPr>
          </a:lvl1pPr>
          <a:lvl2pPr marL="457200" indent="0" algn="l" defTabSz="914394" rtl="0" eaLnBrk="1" latinLnBrk="0" hangingPunct="1">
            <a:defRPr sz="1100" kern="1200">
              <a:solidFill>
                <a:schemeClr val="lt1"/>
              </a:solidFill>
              <a:latin typeface="+mn-lt"/>
              <a:ea typeface="+mn-ea"/>
              <a:cs typeface="+mn-cs"/>
            </a:defRPr>
          </a:lvl2pPr>
          <a:lvl3pPr marL="914400" indent="0" algn="l" defTabSz="914394" rtl="0" eaLnBrk="1" latinLnBrk="0" hangingPunct="1">
            <a:defRPr sz="1100" kern="1200">
              <a:solidFill>
                <a:schemeClr val="lt1"/>
              </a:solidFill>
              <a:latin typeface="+mn-lt"/>
              <a:ea typeface="+mn-ea"/>
              <a:cs typeface="+mn-cs"/>
            </a:defRPr>
          </a:lvl3pPr>
          <a:lvl4pPr marL="1371600" indent="0" algn="l" defTabSz="914394" rtl="0" eaLnBrk="1" latinLnBrk="0" hangingPunct="1">
            <a:defRPr sz="1100" kern="1200">
              <a:solidFill>
                <a:schemeClr val="lt1"/>
              </a:solidFill>
              <a:latin typeface="+mn-lt"/>
              <a:ea typeface="+mn-ea"/>
              <a:cs typeface="+mn-cs"/>
            </a:defRPr>
          </a:lvl4pPr>
          <a:lvl5pPr marL="1828800" indent="0" algn="l" defTabSz="914394" rtl="0" eaLnBrk="1" latinLnBrk="0" hangingPunct="1">
            <a:defRPr sz="1100" kern="1200">
              <a:solidFill>
                <a:schemeClr val="lt1"/>
              </a:solidFill>
              <a:latin typeface="+mn-lt"/>
              <a:ea typeface="+mn-ea"/>
              <a:cs typeface="+mn-cs"/>
            </a:defRPr>
          </a:lvl5pPr>
          <a:lvl6pPr marL="2286000" indent="0" algn="l" defTabSz="914394" rtl="0" eaLnBrk="1" latinLnBrk="0" hangingPunct="1">
            <a:defRPr sz="1100" kern="1200">
              <a:solidFill>
                <a:schemeClr val="lt1"/>
              </a:solidFill>
              <a:latin typeface="+mn-lt"/>
              <a:ea typeface="+mn-ea"/>
              <a:cs typeface="+mn-cs"/>
            </a:defRPr>
          </a:lvl6pPr>
          <a:lvl7pPr marL="2743200" indent="0" algn="l" defTabSz="914394" rtl="0" eaLnBrk="1" latinLnBrk="0" hangingPunct="1">
            <a:defRPr sz="1100" kern="1200">
              <a:solidFill>
                <a:schemeClr val="lt1"/>
              </a:solidFill>
              <a:latin typeface="+mn-lt"/>
              <a:ea typeface="+mn-ea"/>
              <a:cs typeface="+mn-cs"/>
            </a:defRPr>
          </a:lvl7pPr>
          <a:lvl8pPr marL="3200400" indent="0" algn="l" defTabSz="914394" rtl="0" eaLnBrk="1" latinLnBrk="0" hangingPunct="1">
            <a:defRPr sz="1100" kern="1200">
              <a:solidFill>
                <a:schemeClr val="lt1"/>
              </a:solidFill>
              <a:latin typeface="+mn-lt"/>
              <a:ea typeface="+mn-ea"/>
              <a:cs typeface="+mn-cs"/>
            </a:defRPr>
          </a:lvl8pPr>
          <a:lvl9pPr marL="3657600" indent="0" algn="l" defTabSz="914394" rtl="0" eaLnBrk="1" latinLnBrk="0" hangingPunct="1">
            <a:defRPr sz="1100" kern="1200">
              <a:solidFill>
                <a:schemeClr val="lt1"/>
              </a:solidFill>
              <a:latin typeface="+mn-lt"/>
              <a:ea typeface="+mn-ea"/>
              <a:cs typeface="+mn-cs"/>
            </a:defRPr>
          </a:lvl9pPr>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95249</xdr:colOff>
      <xdr:row>51</xdr:row>
      <xdr:rowOff>38100</xdr:rowOff>
    </xdr:from>
    <xdr:to>
      <xdr:col>7</xdr:col>
      <xdr:colOff>514350</xdr:colOff>
      <xdr:row>68</xdr:row>
      <xdr:rowOff>66674</xdr:rowOff>
    </xdr:to>
    <xdr:sp macro="" textlink="">
      <xdr:nvSpPr>
        <xdr:cNvPr id="56" name="Callout: Right Arrow 55">
          <a:extLst>
            <a:ext uri="{FF2B5EF4-FFF2-40B4-BE49-F238E27FC236}">
              <a16:creationId xmlns:a16="http://schemas.microsoft.com/office/drawing/2014/main" id="{3D3DAC51-EFF3-40D6-8372-91C56FC692EE}"/>
            </a:ext>
          </a:extLst>
        </xdr:cNvPr>
        <xdr:cNvSpPr/>
      </xdr:nvSpPr>
      <xdr:spPr>
        <a:xfrm>
          <a:off x="95249" y="8334375"/>
          <a:ext cx="5400676" cy="3590924"/>
        </a:xfrm>
        <a:prstGeom prst="rightArrowCallout">
          <a:avLst>
            <a:gd name="adj1" fmla="val 24113"/>
            <a:gd name="adj2" fmla="val 25222"/>
            <a:gd name="adj3" fmla="val 17018"/>
            <a:gd name="adj4" fmla="val 75912"/>
          </a:avLst>
        </a:prstGeom>
        <a:solidFill>
          <a:schemeClr val="bg1">
            <a:lumMod val="85000"/>
          </a:schemeClr>
        </a:solidFill>
        <a:ln w="127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335643</xdr:colOff>
      <xdr:row>4</xdr:row>
      <xdr:rowOff>114888</xdr:rowOff>
    </xdr:from>
    <xdr:to>
      <xdr:col>10</xdr:col>
      <xdr:colOff>192768</xdr:colOff>
      <xdr:row>17</xdr:row>
      <xdr:rowOff>124413</xdr:rowOff>
    </xdr:to>
    <xdr:graphicFrame macro="">
      <xdr:nvGraphicFramePr>
        <xdr:cNvPr id="3" name="Chart 2">
          <a:extLst>
            <a:ext uri="{FF2B5EF4-FFF2-40B4-BE49-F238E27FC236}">
              <a16:creationId xmlns:a16="http://schemas.microsoft.com/office/drawing/2014/main" id="{A46AC599-BC8B-97FE-9D45-D84F5CF0C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273326</xdr:colOff>
      <xdr:row>4</xdr:row>
      <xdr:rowOff>175446</xdr:rowOff>
    </xdr:from>
    <xdr:to>
      <xdr:col>17</xdr:col>
      <xdr:colOff>581430</xdr:colOff>
      <xdr:row>17</xdr:row>
      <xdr:rowOff>63200</xdr:rowOff>
    </xdr:to>
    <xdr:graphicFrame macro="">
      <xdr:nvGraphicFramePr>
        <xdr:cNvPr id="6" name="Chart 5">
          <a:extLst>
            <a:ext uri="{FF2B5EF4-FFF2-40B4-BE49-F238E27FC236}">
              <a16:creationId xmlns:a16="http://schemas.microsoft.com/office/drawing/2014/main" id="{87F73468-1E95-F4B2-1169-A6C7D78C0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154</xdr:row>
      <xdr:rowOff>0</xdr:rowOff>
    </xdr:from>
    <xdr:to>
      <xdr:col>0</xdr:col>
      <xdr:colOff>304800</xdr:colOff>
      <xdr:row>155</xdr:row>
      <xdr:rowOff>111122</xdr:rowOff>
    </xdr:to>
    <xdr:sp macro="" textlink="">
      <xdr:nvSpPr>
        <xdr:cNvPr id="3073" name="AutoShape 1" descr="12 Warren Street, New York, NY, 10007 photo #1 of 14">
          <a:extLst>
            <a:ext uri="{FF2B5EF4-FFF2-40B4-BE49-F238E27FC236}">
              <a16:creationId xmlns:a16="http://schemas.microsoft.com/office/drawing/2014/main" id="{1601E040-665F-2424-5F44-6FF998D3EEB4}"/>
            </a:ext>
          </a:extLst>
        </xdr:cNvPr>
        <xdr:cNvSpPr>
          <a:spLocks noChangeAspect="1" noChangeArrowheads="1"/>
        </xdr:cNvSpPr>
      </xdr:nvSpPr>
      <xdr:spPr bwMode="auto">
        <a:xfrm>
          <a:off x="0" y="824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111125</xdr:rowOff>
    </xdr:to>
    <xdr:sp macro="" textlink="">
      <xdr:nvSpPr>
        <xdr:cNvPr id="3074" name="AutoShape 2" descr="12 Warren Street, New York, NY, 10007 photo #1 of 14">
          <a:extLst>
            <a:ext uri="{FF2B5EF4-FFF2-40B4-BE49-F238E27FC236}">
              <a16:creationId xmlns:a16="http://schemas.microsoft.com/office/drawing/2014/main" id="{EE313560-361E-2F66-2B1F-51F4E4F90C37}"/>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8</xdr:col>
      <xdr:colOff>15174</xdr:colOff>
      <xdr:row>5</xdr:row>
      <xdr:rowOff>174884</xdr:rowOff>
    </xdr:from>
    <xdr:to>
      <xdr:col>9</xdr:col>
      <xdr:colOff>224724</xdr:colOff>
      <xdr:row>7</xdr:row>
      <xdr:rowOff>157923</xdr:rowOff>
    </xdr:to>
    <xdr:sp macro="" textlink="">
      <xdr:nvSpPr>
        <xdr:cNvPr id="13" name="TextBox 12">
          <a:extLst>
            <a:ext uri="{FF2B5EF4-FFF2-40B4-BE49-F238E27FC236}">
              <a16:creationId xmlns:a16="http://schemas.microsoft.com/office/drawing/2014/main" id="{76B37262-2E1A-4ADA-A2E1-3EC49DDC003F}"/>
            </a:ext>
          </a:extLst>
        </xdr:cNvPr>
        <xdr:cNvSpPr txBox="1"/>
      </xdr:nvSpPr>
      <xdr:spPr>
        <a:xfrm>
          <a:off x="5387274" y="1470284"/>
          <a:ext cx="962025" cy="402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548235"/>
              </a:solidFill>
              <a:latin typeface="Aptos Bdy"/>
              <a:ea typeface="Calibri" panose="020F0502020204030204" pitchFamily="34" charset="0"/>
              <a:cs typeface="Calibri" panose="020F0502020204030204" pitchFamily="34" charset="0"/>
            </a:rPr>
            <a:t>Highly liquid</a:t>
          </a:r>
        </a:p>
      </xdr:txBody>
    </xdr:sp>
    <xdr:clientData/>
  </xdr:twoCellAnchor>
  <xdr:twoCellAnchor>
    <xdr:from>
      <xdr:col>2</xdr:col>
      <xdr:colOff>20661</xdr:colOff>
      <xdr:row>5</xdr:row>
      <xdr:rowOff>130760</xdr:rowOff>
    </xdr:from>
    <xdr:to>
      <xdr:col>4</xdr:col>
      <xdr:colOff>680357</xdr:colOff>
      <xdr:row>8</xdr:row>
      <xdr:rowOff>112644</xdr:rowOff>
    </xdr:to>
    <xdr:sp macro="" textlink="">
      <xdr:nvSpPr>
        <xdr:cNvPr id="14" name="TextBox 13">
          <a:extLst>
            <a:ext uri="{FF2B5EF4-FFF2-40B4-BE49-F238E27FC236}">
              <a16:creationId xmlns:a16="http://schemas.microsoft.com/office/drawing/2014/main" id="{E692335A-37F1-412B-BF54-9FFE80F6F8CC}"/>
            </a:ext>
          </a:extLst>
        </xdr:cNvPr>
        <xdr:cNvSpPr txBox="1"/>
      </xdr:nvSpPr>
      <xdr:spPr>
        <a:xfrm>
          <a:off x="1182711" y="1426160"/>
          <a:ext cx="1859846" cy="6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C00000"/>
              </a:solidFill>
              <a:latin typeface="Aptos Bdy"/>
              <a:ea typeface="Calibri" panose="020F0502020204030204" pitchFamily="34" charset="0"/>
              <a:cs typeface="Calibri" panose="020F0502020204030204" pitchFamily="34" charset="0"/>
            </a:rPr>
            <a:t>Commited</a:t>
          </a:r>
          <a:r>
            <a:rPr lang="en-US" sz="1000" baseline="0">
              <a:solidFill>
                <a:srgbClr val="C00000"/>
              </a:solidFill>
              <a:latin typeface="Aptos Bdy"/>
              <a:ea typeface="Calibri" panose="020F0502020204030204" pitchFamily="34" charset="0"/>
              <a:cs typeface="Calibri" panose="020F0502020204030204" pitchFamily="34" charset="0"/>
            </a:rPr>
            <a:t> and includes p</a:t>
          </a:r>
          <a:r>
            <a:rPr lang="en-US" sz="1000">
              <a:solidFill>
                <a:srgbClr val="C00000"/>
              </a:solidFill>
              <a:latin typeface="Aptos Bdy"/>
              <a:ea typeface="Calibri" panose="020F0502020204030204" pitchFamily="34" charset="0"/>
              <a:cs typeface="Calibri" panose="020F0502020204030204" pitchFamily="34" charset="0"/>
            </a:rPr>
            <a:t>enalties for liquidity</a:t>
          </a:r>
        </a:p>
      </xdr:txBody>
    </xdr:sp>
    <xdr:clientData/>
  </xdr:twoCellAnchor>
  <xdr:twoCellAnchor>
    <xdr:from>
      <xdr:col>5</xdr:col>
      <xdr:colOff>414596</xdr:colOff>
      <xdr:row>6</xdr:row>
      <xdr:rowOff>33432</xdr:rowOff>
    </xdr:from>
    <xdr:to>
      <xdr:col>7</xdr:col>
      <xdr:colOff>95880</xdr:colOff>
      <xdr:row>8</xdr:row>
      <xdr:rowOff>1957</xdr:rowOff>
    </xdr:to>
    <xdr:sp macro="" textlink="">
      <xdr:nvSpPr>
        <xdr:cNvPr id="15" name="TextBox 14">
          <a:extLst>
            <a:ext uri="{FF2B5EF4-FFF2-40B4-BE49-F238E27FC236}">
              <a16:creationId xmlns:a16="http://schemas.microsoft.com/office/drawing/2014/main" id="{72DDB184-5E79-4A84-A09C-AE9538987F19}"/>
            </a:ext>
          </a:extLst>
        </xdr:cNvPr>
        <xdr:cNvSpPr txBox="1"/>
      </xdr:nvSpPr>
      <xdr:spPr>
        <a:xfrm>
          <a:off x="3529271" y="1538382"/>
          <a:ext cx="1186234"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FF9900"/>
              </a:solidFill>
              <a:latin typeface="Aptos Bdy"/>
              <a:ea typeface="Calibri" panose="020F0502020204030204" pitchFamily="34" charset="0"/>
              <a:cs typeface="Calibri" panose="020F0502020204030204" pitchFamily="34" charset="0"/>
            </a:rPr>
            <a:t>Liquid</a:t>
          </a:r>
          <a:r>
            <a:rPr lang="en-US" sz="1000" baseline="0">
              <a:solidFill>
                <a:srgbClr val="FF9900"/>
              </a:solidFill>
              <a:latin typeface="Aptos Bdy"/>
              <a:ea typeface="Calibri" panose="020F0502020204030204" pitchFamily="34" charset="0"/>
              <a:cs typeface="Calibri" panose="020F0502020204030204" pitchFamily="34" charset="0"/>
            </a:rPr>
            <a:t> but requires time to sell</a:t>
          </a:r>
          <a:endParaRPr lang="en-US" sz="1000">
            <a:solidFill>
              <a:srgbClr val="FF9900"/>
            </a:solidFill>
            <a:latin typeface="Aptos Bdy"/>
            <a:ea typeface="Calibri" panose="020F0502020204030204" pitchFamily="34" charset="0"/>
            <a:cs typeface="Calibri" panose="020F0502020204030204" pitchFamily="34" charset="0"/>
          </a:endParaRPr>
        </a:p>
      </xdr:txBody>
    </xdr:sp>
    <xdr:clientData/>
  </xdr:twoCellAnchor>
  <xdr:twoCellAnchor>
    <xdr:from>
      <xdr:col>8</xdr:col>
      <xdr:colOff>159989</xdr:colOff>
      <xdr:row>50</xdr:row>
      <xdr:rowOff>114725</xdr:rowOff>
    </xdr:from>
    <xdr:to>
      <xdr:col>18</xdr:col>
      <xdr:colOff>316810</xdr:colOff>
      <xdr:row>65</xdr:row>
      <xdr:rowOff>188193</xdr:rowOff>
    </xdr:to>
    <xdr:graphicFrame macro="">
      <xdr:nvGraphicFramePr>
        <xdr:cNvPr id="16" name="Chart 15">
          <a:extLst>
            <a:ext uri="{FF2B5EF4-FFF2-40B4-BE49-F238E27FC236}">
              <a16:creationId xmlns:a16="http://schemas.microsoft.com/office/drawing/2014/main" id="{17129A45-DD98-4496-A1BB-4C5D64C3F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161924</xdr:colOff>
      <xdr:row>73</xdr:row>
      <xdr:rowOff>114300</xdr:rowOff>
    </xdr:from>
    <xdr:to>
      <xdr:col>6</xdr:col>
      <xdr:colOff>895349</xdr:colOff>
      <xdr:row>80</xdr:row>
      <xdr:rowOff>38100</xdr:rowOff>
    </xdr:to>
    <xdr:sp macro="" textlink="">
      <xdr:nvSpPr>
        <xdr:cNvPr id="18" name="Callout: Right Arrow 17">
          <a:extLst>
            <a:ext uri="{FF2B5EF4-FFF2-40B4-BE49-F238E27FC236}">
              <a16:creationId xmlns:a16="http://schemas.microsoft.com/office/drawing/2014/main" id="{628BABBF-B041-8F80-BD08-5152F5B0925F}"/>
            </a:ext>
          </a:extLst>
        </xdr:cNvPr>
        <xdr:cNvSpPr/>
      </xdr:nvSpPr>
      <xdr:spPr>
        <a:xfrm>
          <a:off x="3276599" y="10877550"/>
          <a:ext cx="1666875" cy="1257300"/>
        </a:xfrm>
        <a:prstGeom prst="rightArrowCallout">
          <a:avLst/>
        </a:prstGeom>
        <a:solidFill>
          <a:schemeClr val="bg1">
            <a:lumMod val="85000"/>
          </a:schemeClr>
        </a:solidFill>
        <a:ln w="127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209550</xdr:colOff>
      <xdr:row>74</xdr:row>
      <xdr:rowOff>0</xdr:rowOff>
    </xdr:from>
    <xdr:to>
      <xdr:col>6</xdr:col>
      <xdr:colOff>295275</xdr:colOff>
      <xdr:row>79</xdr:row>
      <xdr:rowOff>133350</xdr:rowOff>
    </xdr:to>
    <xdr:sp macro="" textlink="">
      <xdr:nvSpPr>
        <xdr:cNvPr id="20" name="TextBox 19">
          <a:extLst>
            <a:ext uri="{FF2B5EF4-FFF2-40B4-BE49-F238E27FC236}">
              <a16:creationId xmlns:a16="http://schemas.microsoft.com/office/drawing/2014/main" id="{8675C163-D9D5-1514-3A26-F5F56E683344}"/>
            </a:ext>
          </a:extLst>
        </xdr:cNvPr>
        <xdr:cNvSpPr txBox="1"/>
      </xdr:nvSpPr>
      <xdr:spPr>
        <a:xfrm>
          <a:off x="3324225" y="10953750"/>
          <a:ext cx="1019175"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Set</a:t>
          </a:r>
          <a:r>
            <a:rPr lang="en-US" sz="1100" baseline="0"/>
            <a:t> Your own Rules to Manage Cash Based on what makes </a:t>
          </a:r>
          <a:r>
            <a:rPr lang="en-US" sz="1100" b="1" u="sng" baseline="0"/>
            <a:t>YOU </a:t>
          </a:r>
          <a:r>
            <a:rPr lang="en-US" sz="1100" baseline="0"/>
            <a:t>Comfortable</a:t>
          </a:r>
          <a:endParaRPr lang="en-US" sz="1100"/>
        </a:p>
      </xdr:txBody>
    </xdr:sp>
    <xdr:clientData/>
  </xdr:twoCellAnchor>
  <xdr:twoCellAnchor>
    <xdr:from>
      <xdr:col>0</xdr:col>
      <xdr:colOff>263978</xdr:colOff>
      <xdr:row>51</xdr:row>
      <xdr:rowOff>174139</xdr:rowOff>
    </xdr:from>
    <xdr:to>
      <xdr:col>5</xdr:col>
      <xdr:colOff>850900</xdr:colOff>
      <xdr:row>67</xdr:row>
      <xdr:rowOff>190646</xdr:rowOff>
    </xdr:to>
    <xdr:grpSp>
      <xdr:nvGrpSpPr>
        <xdr:cNvPr id="22" name="Group 21">
          <a:extLst>
            <a:ext uri="{FF2B5EF4-FFF2-40B4-BE49-F238E27FC236}">
              <a16:creationId xmlns:a16="http://schemas.microsoft.com/office/drawing/2014/main" id="{1B21423B-74A3-79DB-DAFB-5AD42B58E203}"/>
            </a:ext>
          </a:extLst>
        </xdr:cNvPr>
        <xdr:cNvGrpSpPr/>
      </xdr:nvGrpSpPr>
      <xdr:grpSpPr>
        <a:xfrm>
          <a:off x="263978" y="11775313"/>
          <a:ext cx="3781248" cy="3373724"/>
          <a:chOff x="-114068" y="252021"/>
          <a:chExt cx="5452804" cy="4357569"/>
        </a:xfrm>
      </xdr:grpSpPr>
      <xdr:sp macro="" textlink="">
        <xdr:nvSpPr>
          <xdr:cNvPr id="23" name="Rectangle: Rounded Corners 22">
            <a:extLst>
              <a:ext uri="{FF2B5EF4-FFF2-40B4-BE49-F238E27FC236}">
                <a16:creationId xmlns:a16="http://schemas.microsoft.com/office/drawing/2014/main" id="{7D30D158-BAB9-5909-7954-2A7722B4ED79}"/>
              </a:ext>
            </a:extLst>
          </xdr:cNvPr>
          <xdr:cNvSpPr/>
        </xdr:nvSpPr>
        <xdr:spPr>
          <a:xfrm>
            <a:off x="1974501" y="1714739"/>
            <a:ext cx="1384917" cy="1305018"/>
          </a:xfrm>
          <a:prstGeom prst="roundRect">
            <a:avLst>
              <a:gd name="adj" fmla="val 19238"/>
            </a:avLst>
          </a:prstGeom>
          <a:solidFill>
            <a:schemeClr val="bg1"/>
          </a:solidFill>
          <a:ln w="6350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ln w="0"/>
                <a:solidFill>
                  <a:schemeClr val="tx1"/>
                </a:solidFill>
                <a:effectLst>
                  <a:outerShdw blurRad="38100" dist="19050" dir="2700000" algn="tl" rotWithShape="0">
                    <a:schemeClr val="dk1">
                      <a:alpha val="40000"/>
                    </a:schemeClr>
                  </a:outerShdw>
                </a:effectLst>
                <a:latin typeface="+mj-lt"/>
                <a:ea typeface="Verdana" panose="020B0604030504040204" pitchFamily="34" charset="0"/>
                <a:cs typeface="Tahoma" panose="020B0604030504040204" pitchFamily="34" charset="0"/>
              </a:rPr>
              <a:t>GURU</a:t>
            </a:r>
            <a:endParaRPr lang="en-US" sz="1000">
              <a:latin typeface="+mj-lt"/>
              <a:ea typeface="Verdana" panose="020B0604030504040204" pitchFamily="34" charset="0"/>
              <a:cs typeface="Tahoma" panose="020B0604030504040204" pitchFamily="34" charset="0"/>
            </a:endParaRPr>
          </a:p>
        </xdr:txBody>
      </xdr:sp>
      <xdr:cxnSp macro="">
        <xdr:nvCxnSpPr>
          <xdr:cNvPr id="24" name="Straight Connector 23">
            <a:extLst>
              <a:ext uri="{FF2B5EF4-FFF2-40B4-BE49-F238E27FC236}">
                <a16:creationId xmlns:a16="http://schemas.microsoft.com/office/drawing/2014/main" id="{36BC4C35-5DBB-D69B-C8E3-B06C3899F0E6}"/>
              </a:ext>
            </a:extLst>
          </xdr:cNvPr>
          <xdr:cNvCxnSpPr>
            <a:cxnSpLocks/>
          </xdr:cNvCxnSpPr>
        </xdr:nvCxnSpPr>
        <xdr:spPr>
          <a:xfrm flipV="1">
            <a:off x="2306234" y="1129521"/>
            <a:ext cx="0" cy="54864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F2CBC714-611A-2EBE-CACD-1654AAD6350F}"/>
              </a:ext>
            </a:extLst>
          </xdr:cNvPr>
          <xdr:cNvCxnSpPr>
            <a:cxnSpLocks/>
          </xdr:cNvCxnSpPr>
        </xdr:nvCxnSpPr>
        <xdr:spPr>
          <a:xfrm flipV="1">
            <a:off x="2658571" y="787118"/>
            <a:ext cx="8388" cy="91440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BB423BBC-988D-6C0C-5E83-B98126A3DBC4}"/>
              </a:ext>
            </a:extLst>
          </xdr:cNvPr>
          <xdr:cNvCxnSpPr>
            <a:cxnSpLocks/>
          </xdr:cNvCxnSpPr>
        </xdr:nvCxnSpPr>
        <xdr:spPr>
          <a:xfrm flipV="1">
            <a:off x="3002520" y="1121132"/>
            <a:ext cx="0" cy="54864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EA6BC3D0-4D33-E77B-AC4D-6ABBB6F03F5D}"/>
              </a:ext>
            </a:extLst>
          </xdr:cNvPr>
          <xdr:cNvCxnSpPr/>
        </xdr:nvCxnSpPr>
        <xdr:spPr>
          <a:xfrm flipH="1">
            <a:off x="1418544" y="2715389"/>
            <a:ext cx="54864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CFAC6736-24ED-617F-B953-B86A9175D3B0}"/>
              </a:ext>
            </a:extLst>
          </xdr:cNvPr>
          <xdr:cNvCxnSpPr>
            <a:cxnSpLocks/>
          </xdr:cNvCxnSpPr>
        </xdr:nvCxnSpPr>
        <xdr:spPr>
          <a:xfrm flipH="1">
            <a:off x="1041747" y="2363054"/>
            <a:ext cx="91440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5E5D07FB-F1D4-05AE-68E6-3C21345C98A5}"/>
              </a:ext>
            </a:extLst>
          </xdr:cNvPr>
          <xdr:cNvCxnSpPr/>
        </xdr:nvCxnSpPr>
        <xdr:spPr>
          <a:xfrm flipH="1">
            <a:off x="1410155" y="2019104"/>
            <a:ext cx="54864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C8F3086D-091F-3D4F-D9D3-8022EA6457D5}"/>
              </a:ext>
            </a:extLst>
          </xdr:cNvPr>
          <xdr:cNvCxnSpPr/>
        </xdr:nvCxnSpPr>
        <xdr:spPr>
          <a:xfrm>
            <a:off x="3388681" y="2019104"/>
            <a:ext cx="54864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C77B2DFC-6EEB-48BB-62C6-693B14178692}"/>
              </a:ext>
            </a:extLst>
          </xdr:cNvPr>
          <xdr:cNvCxnSpPr>
            <a:cxnSpLocks/>
          </xdr:cNvCxnSpPr>
        </xdr:nvCxnSpPr>
        <xdr:spPr>
          <a:xfrm>
            <a:off x="3370455" y="2371441"/>
            <a:ext cx="91440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CE296C2C-7634-5E02-B894-7C9F6300B698}"/>
              </a:ext>
            </a:extLst>
          </xdr:cNvPr>
          <xdr:cNvCxnSpPr/>
        </xdr:nvCxnSpPr>
        <xdr:spPr>
          <a:xfrm>
            <a:off x="3397070" y="2715389"/>
            <a:ext cx="548640" cy="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E57133AD-10B7-C214-8EB4-A20DA71DC27D}"/>
              </a:ext>
            </a:extLst>
          </xdr:cNvPr>
          <xdr:cNvCxnSpPr>
            <a:cxnSpLocks/>
          </xdr:cNvCxnSpPr>
        </xdr:nvCxnSpPr>
        <xdr:spPr>
          <a:xfrm>
            <a:off x="3015102" y="3034389"/>
            <a:ext cx="0" cy="54864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7645C324-3E48-8C14-B44A-593AEF050D03}"/>
              </a:ext>
            </a:extLst>
          </xdr:cNvPr>
          <xdr:cNvCxnSpPr>
            <a:cxnSpLocks/>
          </xdr:cNvCxnSpPr>
        </xdr:nvCxnSpPr>
        <xdr:spPr>
          <a:xfrm>
            <a:off x="2662765" y="3034389"/>
            <a:ext cx="0" cy="91440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7C1D07FC-5F95-A25B-9EA5-9F854377321D}"/>
              </a:ext>
            </a:extLst>
          </xdr:cNvPr>
          <xdr:cNvCxnSpPr>
            <a:cxnSpLocks/>
          </xdr:cNvCxnSpPr>
        </xdr:nvCxnSpPr>
        <xdr:spPr>
          <a:xfrm>
            <a:off x="2318816" y="3034389"/>
            <a:ext cx="0" cy="548640"/>
          </a:xfrm>
          <a:prstGeom prst="line">
            <a:avLst/>
          </a:prstGeom>
          <a:ln w="38100">
            <a:solidFill>
              <a:schemeClr val="tx1"/>
            </a:solidFill>
            <a:tailEnd type="oval"/>
          </a:ln>
        </xdr:spPr>
        <xdr:style>
          <a:lnRef idx="2">
            <a:schemeClr val="accent1"/>
          </a:lnRef>
          <a:fillRef idx="0">
            <a:schemeClr val="accent1"/>
          </a:fillRef>
          <a:effectRef idx="1">
            <a:schemeClr val="accent1"/>
          </a:effectRef>
          <a:fontRef idx="minor">
            <a:schemeClr val="tx1"/>
          </a:fontRef>
        </xdr:style>
      </xdr:cxnSp>
      <xdr:sp macro="" textlink="">
        <xdr:nvSpPr>
          <xdr:cNvPr id="36" name="TextBox 21">
            <a:extLst>
              <a:ext uri="{FF2B5EF4-FFF2-40B4-BE49-F238E27FC236}">
                <a16:creationId xmlns:a16="http://schemas.microsoft.com/office/drawing/2014/main" id="{EC2E7772-4777-32FA-B419-E3BE30FDC140}"/>
              </a:ext>
            </a:extLst>
          </xdr:cNvPr>
          <xdr:cNvSpPr txBox="1"/>
        </xdr:nvSpPr>
        <xdr:spPr>
          <a:xfrm>
            <a:off x="1633272" y="604242"/>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000" b="1"/>
          </a:p>
          <a:p>
            <a:pPr algn="ctr"/>
            <a:r>
              <a:rPr lang="en-US" sz="1000" b="1"/>
              <a:t>Income</a:t>
            </a:r>
          </a:p>
        </xdr:txBody>
      </xdr:sp>
      <xdr:sp macro="" textlink="">
        <xdr:nvSpPr>
          <xdr:cNvPr id="37" name="TextBox 22">
            <a:extLst>
              <a:ext uri="{FF2B5EF4-FFF2-40B4-BE49-F238E27FC236}">
                <a16:creationId xmlns:a16="http://schemas.microsoft.com/office/drawing/2014/main" id="{D9390807-D993-8156-A875-230798433FCD}"/>
              </a:ext>
            </a:extLst>
          </xdr:cNvPr>
          <xdr:cNvSpPr txBox="1"/>
        </xdr:nvSpPr>
        <xdr:spPr>
          <a:xfrm>
            <a:off x="2062014" y="252021"/>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Mortgage Payments</a:t>
            </a:r>
          </a:p>
        </xdr:txBody>
      </xdr:sp>
      <xdr:sp macro="" textlink="">
        <xdr:nvSpPr>
          <xdr:cNvPr id="38" name="TextBox 23">
            <a:extLst>
              <a:ext uri="{FF2B5EF4-FFF2-40B4-BE49-F238E27FC236}">
                <a16:creationId xmlns:a16="http://schemas.microsoft.com/office/drawing/2014/main" id="{C4D53137-886F-2BBA-05C9-07CB3B8711E6}"/>
              </a:ext>
            </a:extLst>
          </xdr:cNvPr>
          <xdr:cNvSpPr txBox="1"/>
        </xdr:nvSpPr>
        <xdr:spPr>
          <a:xfrm>
            <a:off x="2536472" y="589761"/>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Student</a:t>
            </a:r>
          </a:p>
          <a:p>
            <a:pPr algn="ctr"/>
            <a:r>
              <a:rPr lang="en-US" sz="1000" b="1"/>
              <a:t>Debt</a:t>
            </a:r>
          </a:p>
        </xdr:txBody>
      </xdr:sp>
      <xdr:sp macro="" textlink="">
        <xdr:nvSpPr>
          <xdr:cNvPr id="39" name="TextBox 24">
            <a:extLst>
              <a:ext uri="{FF2B5EF4-FFF2-40B4-BE49-F238E27FC236}">
                <a16:creationId xmlns:a16="http://schemas.microsoft.com/office/drawing/2014/main" id="{A2B92C46-C96D-6AA1-7943-7BAB6E1FFA03}"/>
              </a:ext>
            </a:extLst>
          </xdr:cNvPr>
          <xdr:cNvSpPr txBox="1"/>
        </xdr:nvSpPr>
        <xdr:spPr>
          <a:xfrm>
            <a:off x="3873344" y="1868521"/>
            <a:ext cx="1450256" cy="31248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Property Taxes</a:t>
            </a:r>
          </a:p>
        </xdr:txBody>
      </xdr:sp>
      <xdr:sp macro="" textlink="">
        <xdr:nvSpPr>
          <xdr:cNvPr id="40" name="TextBox 25">
            <a:extLst>
              <a:ext uri="{FF2B5EF4-FFF2-40B4-BE49-F238E27FC236}">
                <a16:creationId xmlns:a16="http://schemas.microsoft.com/office/drawing/2014/main" id="{C8DA0C1A-4987-4B45-7391-487E231431D5}"/>
              </a:ext>
            </a:extLst>
          </xdr:cNvPr>
          <xdr:cNvSpPr txBox="1"/>
        </xdr:nvSpPr>
        <xdr:spPr>
          <a:xfrm>
            <a:off x="4153688" y="2166407"/>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RE Rental Income</a:t>
            </a:r>
          </a:p>
        </xdr:txBody>
      </xdr:sp>
      <xdr:sp macro="" textlink="">
        <xdr:nvSpPr>
          <xdr:cNvPr id="41" name="TextBox 26">
            <a:extLst>
              <a:ext uri="{FF2B5EF4-FFF2-40B4-BE49-F238E27FC236}">
                <a16:creationId xmlns:a16="http://schemas.microsoft.com/office/drawing/2014/main" id="{E95A6B1A-B050-DB60-CB17-192C7E982434}"/>
              </a:ext>
            </a:extLst>
          </xdr:cNvPr>
          <xdr:cNvSpPr txBox="1"/>
        </xdr:nvSpPr>
        <xdr:spPr>
          <a:xfrm>
            <a:off x="3873344" y="2574354"/>
            <a:ext cx="1185048" cy="31248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HOA/ Maint</a:t>
            </a:r>
          </a:p>
        </xdr:txBody>
      </xdr:sp>
      <xdr:sp macro="" textlink="">
        <xdr:nvSpPr>
          <xdr:cNvPr id="42" name="TextBox 27">
            <a:extLst>
              <a:ext uri="{FF2B5EF4-FFF2-40B4-BE49-F238E27FC236}">
                <a16:creationId xmlns:a16="http://schemas.microsoft.com/office/drawing/2014/main" id="{41933112-11EF-A549-32B2-A601783165D9}"/>
              </a:ext>
            </a:extLst>
          </xdr:cNvPr>
          <xdr:cNvSpPr txBox="1"/>
        </xdr:nvSpPr>
        <xdr:spPr>
          <a:xfrm>
            <a:off x="2515601" y="3608617"/>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Credit</a:t>
            </a:r>
          </a:p>
          <a:p>
            <a:pPr algn="ctr"/>
            <a:r>
              <a:rPr lang="en-US" sz="1000" b="1"/>
              <a:t>Cards</a:t>
            </a:r>
          </a:p>
        </xdr:txBody>
      </xdr:sp>
      <xdr:sp macro="" textlink="">
        <xdr:nvSpPr>
          <xdr:cNvPr id="43" name="TextBox 28">
            <a:extLst>
              <a:ext uri="{FF2B5EF4-FFF2-40B4-BE49-F238E27FC236}">
                <a16:creationId xmlns:a16="http://schemas.microsoft.com/office/drawing/2014/main" id="{A4B37C6B-13E1-5843-6CE5-300F4E35750B}"/>
              </a:ext>
            </a:extLst>
          </xdr:cNvPr>
          <xdr:cNvSpPr txBox="1"/>
        </xdr:nvSpPr>
        <xdr:spPr>
          <a:xfrm>
            <a:off x="1750327" y="4085324"/>
            <a:ext cx="1776607" cy="5242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Country Club Memberships</a:t>
            </a:r>
          </a:p>
        </xdr:txBody>
      </xdr:sp>
      <xdr:sp macro="" textlink="">
        <xdr:nvSpPr>
          <xdr:cNvPr id="44" name="TextBox 29">
            <a:extLst>
              <a:ext uri="{FF2B5EF4-FFF2-40B4-BE49-F238E27FC236}">
                <a16:creationId xmlns:a16="http://schemas.microsoft.com/office/drawing/2014/main" id="{FF61D70C-00ED-4466-AECC-A2D0F6FCC2D8}"/>
              </a:ext>
            </a:extLst>
          </xdr:cNvPr>
          <xdr:cNvSpPr txBox="1"/>
        </xdr:nvSpPr>
        <xdr:spPr>
          <a:xfrm>
            <a:off x="1619827" y="3608616"/>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Travel/</a:t>
            </a:r>
          </a:p>
          <a:p>
            <a:pPr algn="ctr"/>
            <a:r>
              <a:rPr lang="en-US" sz="1000" b="1"/>
              <a:t>Rentals</a:t>
            </a:r>
          </a:p>
        </xdr:txBody>
      </xdr:sp>
      <xdr:sp macro="" textlink="">
        <xdr:nvSpPr>
          <xdr:cNvPr id="45" name="TextBox 31">
            <a:extLst>
              <a:ext uri="{FF2B5EF4-FFF2-40B4-BE49-F238E27FC236}">
                <a16:creationId xmlns:a16="http://schemas.microsoft.com/office/drawing/2014/main" id="{E632FB7F-AF7F-9895-9EDD-DF48D82B44D2}"/>
              </a:ext>
            </a:extLst>
          </xdr:cNvPr>
          <xdr:cNvSpPr txBox="1"/>
        </xdr:nvSpPr>
        <xdr:spPr>
          <a:xfrm>
            <a:off x="29738" y="1877362"/>
            <a:ext cx="1438158" cy="32184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Capital Calls</a:t>
            </a:r>
          </a:p>
        </xdr:txBody>
      </xdr:sp>
      <xdr:sp macro="" textlink="">
        <xdr:nvSpPr>
          <xdr:cNvPr id="46" name="TextBox 32">
            <a:extLst>
              <a:ext uri="{FF2B5EF4-FFF2-40B4-BE49-F238E27FC236}">
                <a16:creationId xmlns:a16="http://schemas.microsoft.com/office/drawing/2014/main" id="{C3B14B98-9155-5C0C-C70C-06F5FC8BB8E6}"/>
              </a:ext>
            </a:extLst>
          </xdr:cNvPr>
          <xdr:cNvSpPr txBox="1"/>
        </xdr:nvSpPr>
        <xdr:spPr>
          <a:xfrm>
            <a:off x="-114068" y="2142140"/>
            <a:ext cx="1185048" cy="31248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Kids Tuition</a:t>
            </a:r>
          </a:p>
        </xdr:txBody>
      </xdr:sp>
      <xdr:sp macro="" textlink="">
        <xdr:nvSpPr>
          <xdr:cNvPr id="47" name="TextBox 33">
            <a:extLst>
              <a:ext uri="{FF2B5EF4-FFF2-40B4-BE49-F238E27FC236}">
                <a16:creationId xmlns:a16="http://schemas.microsoft.com/office/drawing/2014/main" id="{4A365FD8-491D-860D-F242-9E2950185381}"/>
              </a:ext>
            </a:extLst>
          </xdr:cNvPr>
          <xdr:cNvSpPr txBox="1"/>
        </xdr:nvSpPr>
        <xdr:spPr>
          <a:xfrm>
            <a:off x="302924" y="2571114"/>
            <a:ext cx="1185048" cy="50902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PLUS MUCH MORE</a:t>
            </a:r>
          </a:p>
        </xdr:txBody>
      </xdr:sp>
    </xdr:grpSp>
    <xdr:clientData/>
  </xdr:twoCellAnchor>
  <xdr:twoCellAnchor>
    <xdr:from>
      <xdr:col>13</xdr:col>
      <xdr:colOff>822325</xdr:colOff>
      <xdr:row>73</xdr:row>
      <xdr:rowOff>133351</xdr:rowOff>
    </xdr:from>
    <xdr:to>
      <xdr:col>17</xdr:col>
      <xdr:colOff>76200</xdr:colOff>
      <xdr:row>79</xdr:row>
      <xdr:rowOff>44451</xdr:rowOff>
    </xdr:to>
    <xdr:sp macro="" textlink="">
      <xdr:nvSpPr>
        <xdr:cNvPr id="48" name="Rectangle: Rounded Corners 47">
          <a:extLst>
            <a:ext uri="{FF2B5EF4-FFF2-40B4-BE49-F238E27FC236}">
              <a16:creationId xmlns:a16="http://schemas.microsoft.com/office/drawing/2014/main" id="{5029E83C-7959-50AE-C713-D85066F32C1A}"/>
            </a:ext>
          </a:extLst>
        </xdr:cNvPr>
        <xdr:cNvSpPr/>
      </xdr:nvSpPr>
      <xdr:spPr>
        <a:xfrm>
          <a:off x="12353925" y="11658601"/>
          <a:ext cx="2987675" cy="11684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512989</xdr:colOff>
      <xdr:row>4</xdr:row>
      <xdr:rowOff>142575</xdr:rowOff>
    </xdr:from>
    <xdr:to>
      <xdr:col>9</xdr:col>
      <xdr:colOff>104775</xdr:colOff>
      <xdr:row>6</xdr:row>
      <xdr:rowOff>82250</xdr:rowOff>
    </xdr:to>
    <xdr:sp macro="" textlink="">
      <xdr:nvSpPr>
        <xdr:cNvPr id="49" name="Arrow: Right 48">
          <a:extLst>
            <a:ext uri="{FF2B5EF4-FFF2-40B4-BE49-F238E27FC236}">
              <a16:creationId xmlns:a16="http://schemas.microsoft.com/office/drawing/2014/main" id="{19474D4C-3F27-46F9-8C13-92F954ADE4F1}"/>
            </a:ext>
          </a:extLst>
        </xdr:cNvPr>
        <xdr:cNvSpPr/>
      </xdr:nvSpPr>
      <xdr:spPr>
        <a:xfrm>
          <a:off x="512989" y="1228425"/>
          <a:ext cx="5716361" cy="358775"/>
        </a:xfrm>
        <a:prstGeom prst="rightArrow">
          <a:avLst/>
        </a:prstGeom>
        <a:gradFill flip="none" rotWithShape="1">
          <a:gsLst>
            <a:gs pos="38000">
              <a:srgbClr val="FFFF00"/>
            </a:gs>
            <a:gs pos="21000">
              <a:schemeClr val="accent6"/>
            </a:gs>
            <a:gs pos="99000">
              <a:srgbClr val="C00000"/>
            </a:gs>
            <a:gs pos="60000">
              <a:srgbClr val="C00000"/>
            </a:gs>
            <a:gs pos="100000">
              <a:srgbClr val="C00000"/>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85724</xdr:colOff>
      <xdr:row>50</xdr:row>
      <xdr:rowOff>38100</xdr:rowOff>
    </xdr:from>
    <xdr:to>
      <xdr:col>5</xdr:col>
      <xdr:colOff>847724</xdr:colOff>
      <xdr:row>53</xdr:row>
      <xdr:rowOff>13531</xdr:rowOff>
    </xdr:to>
    <xdr:sp macro="" textlink="">
      <xdr:nvSpPr>
        <xdr:cNvPr id="50" name="TextBox 1">
          <a:extLst>
            <a:ext uri="{FF2B5EF4-FFF2-40B4-BE49-F238E27FC236}">
              <a16:creationId xmlns:a16="http://schemas.microsoft.com/office/drawing/2014/main" id="{6B8A8A1F-AC41-2D8A-1AE6-6966A562BDE6}"/>
            </a:ext>
          </a:extLst>
        </xdr:cNvPr>
        <xdr:cNvSpPr txBox="1"/>
      </xdr:nvSpPr>
      <xdr:spPr>
        <a:xfrm>
          <a:off x="85724" y="8124825"/>
          <a:ext cx="3876675" cy="60408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lang="en-US" sz="1200" b="1" kern="1200" baseline="0">
            <a:solidFill>
              <a:schemeClr val="accent1"/>
            </a:solidFill>
          </a:endParaRPr>
        </a:p>
      </xdr:txBody>
    </xdr:sp>
    <xdr:clientData/>
  </xdr:twoCellAnchor>
  <xdr:twoCellAnchor>
    <xdr:from>
      <xdr:col>6</xdr:col>
      <xdr:colOff>66675</xdr:colOff>
      <xdr:row>56</xdr:row>
      <xdr:rowOff>180975</xdr:rowOff>
    </xdr:from>
    <xdr:to>
      <xdr:col>7</xdr:col>
      <xdr:colOff>152400</xdr:colOff>
      <xdr:row>62</xdr:row>
      <xdr:rowOff>104775</xdr:rowOff>
    </xdr:to>
    <xdr:sp macro="" textlink="">
      <xdr:nvSpPr>
        <xdr:cNvPr id="58" name="TextBox 57">
          <a:extLst>
            <a:ext uri="{FF2B5EF4-FFF2-40B4-BE49-F238E27FC236}">
              <a16:creationId xmlns:a16="http://schemas.microsoft.com/office/drawing/2014/main" id="{A3255665-5EE4-DC00-0348-889808A5F0CA}"/>
            </a:ext>
          </a:extLst>
        </xdr:cNvPr>
        <xdr:cNvSpPr txBox="1"/>
      </xdr:nvSpPr>
      <xdr:spPr>
        <a:xfrm>
          <a:off x="4114800" y="9525000"/>
          <a:ext cx="1019175"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Let's </a:t>
          </a:r>
          <a:r>
            <a:rPr lang="en-US" sz="1100" baseline="0"/>
            <a:t>Crunch Your Numbers!!</a:t>
          </a:r>
          <a:endParaRPr lang="en-US" sz="1100"/>
        </a:p>
      </xdr:txBody>
    </xdr:sp>
    <xdr:clientData/>
  </xdr:twoCellAnchor>
  <xdr:twoCellAnchor>
    <xdr:from>
      <xdr:col>13</xdr:col>
      <xdr:colOff>705971</xdr:colOff>
      <xdr:row>80</xdr:row>
      <xdr:rowOff>683558</xdr:rowOff>
    </xdr:from>
    <xdr:to>
      <xdr:col>15</xdr:col>
      <xdr:colOff>649942</xdr:colOff>
      <xdr:row>82</xdr:row>
      <xdr:rowOff>89647</xdr:rowOff>
    </xdr:to>
    <xdr:sp macro="" textlink="">
      <xdr:nvSpPr>
        <xdr:cNvPr id="59" name="Oval 58">
          <a:extLst>
            <a:ext uri="{FF2B5EF4-FFF2-40B4-BE49-F238E27FC236}">
              <a16:creationId xmlns:a16="http://schemas.microsoft.com/office/drawing/2014/main" id="{40C2DDC8-7560-330D-7513-69C76FFED824}"/>
            </a:ext>
          </a:extLst>
        </xdr:cNvPr>
        <xdr:cNvSpPr/>
      </xdr:nvSpPr>
      <xdr:spPr>
        <a:xfrm>
          <a:off x="11261912" y="16114058"/>
          <a:ext cx="1804148" cy="50426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240920</xdr:colOff>
      <xdr:row>5</xdr:row>
      <xdr:rowOff>14720</xdr:rowOff>
    </xdr:from>
    <xdr:to>
      <xdr:col>20</xdr:col>
      <xdr:colOff>819150</xdr:colOff>
      <xdr:row>11</xdr:row>
      <xdr:rowOff>108939</xdr:rowOff>
    </xdr:to>
    <xdr:sp macro="" textlink="">
      <xdr:nvSpPr>
        <xdr:cNvPr id="2" name="Oval 1">
          <a:extLst>
            <a:ext uri="{FF2B5EF4-FFF2-40B4-BE49-F238E27FC236}">
              <a16:creationId xmlns:a16="http://schemas.microsoft.com/office/drawing/2014/main" id="{8514FACA-6970-44F5-AE55-2E4C05EFA8A9}"/>
            </a:ext>
          </a:extLst>
        </xdr:cNvPr>
        <xdr:cNvSpPr/>
      </xdr:nvSpPr>
      <xdr:spPr>
        <a:xfrm>
          <a:off x="13137770" y="1310120"/>
          <a:ext cx="2083180" cy="1513444"/>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0</xdr:col>
      <xdr:colOff>182217</xdr:colOff>
      <xdr:row>108</xdr:row>
      <xdr:rowOff>57980</xdr:rowOff>
    </xdr:from>
    <xdr:to>
      <xdr:col>6</xdr:col>
      <xdr:colOff>745435</xdr:colOff>
      <xdr:row>118</xdr:row>
      <xdr:rowOff>124239</xdr:rowOff>
    </xdr:to>
    <xdr:graphicFrame macro="">
      <xdr:nvGraphicFramePr>
        <xdr:cNvPr id="4" name="Chart 3">
          <a:extLst>
            <a:ext uri="{FF2B5EF4-FFF2-40B4-BE49-F238E27FC236}">
              <a16:creationId xmlns:a16="http://schemas.microsoft.com/office/drawing/2014/main" id="{615F95B4-1CE1-857F-E13B-103FE5C08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315982</xdr:colOff>
      <xdr:row>115</xdr:row>
      <xdr:rowOff>154057</xdr:rowOff>
    </xdr:from>
    <xdr:to>
      <xdr:col>2</xdr:col>
      <xdr:colOff>415372</xdr:colOff>
      <xdr:row>118</xdr:row>
      <xdr:rowOff>170622</xdr:rowOff>
    </xdr:to>
    <xdr:sp macro="" textlink="">
      <xdr:nvSpPr>
        <xdr:cNvPr id="7" name="TextBox 6">
          <a:extLst>
            <a:ext uri="{FF2B5EF4-FFF2-40B4-BE49-F238E27FC236}">
              <a16:creationId xmlns:a16="http://schemas.microsoft.com/office/drawing/2014/main" id="{41C804BA-CFBC-25D9-AEA8-AB2B5FDDEB74}"/>
            </a:ext>
          </a:extLst>
        </xdr:cNvPr>
        <xdr:cNvSpPr txBox="1"/>
      </xdr:nvSpPr>
      <xdr:spPr>
        <a:xfrm>
          <a:off x="897007" y="26185882"/>
          <a:ext cx="680415" cy="645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a:t>
          </a:r>
        </a:p>
        <a:p>
          <a:pPr algn="ctr"/>
          <a:r>
            <a:rPr lang="en-US" sz="900" b="1">
              <a:solidFill>
                <a:schemeClr val="accent5">
                  <a:lumMod val="75000"/>
                </a:schemeClr>
              </a:solidFill>
            </a:rPr>
            <a:t>63%</a:t>
          </a:r>
        </a:p>
      </xdr:txBody>
    </xdr:sp>
    <xdr:clientData/>
  </xdr:twoCellAnchor>
  <xdr:twoCellAnchor>
    <xdr:from>
      <xdr:col>0</xdr:col>
      <xdr:colOff>256761</xdr:colOff>
      <xdr:row>123</xdr:row>
      <xdr:rowOff>24848</xdr:rowOff>
    </xdr:from>
    <xdr:to>
      <xdr:col>6</xdr:col>
      <xdr:colOff>662610</xdr:colOff>
      <xdr:row>132</xdr:row>
      <xdr:rowOff>82826</xdr:rowOff>
    </xdr:to>
    <xdr:graphicFrame macro="">
      <xdr:nvGraphicFramePr>
        <xdr:cNvPr id="8" name="Chart 7">
          <a:extLst>
            <a:ext uri="{FF2B5EF4-FFF2-40B4-BE49-F238E27FC236}">
              <a16:creationId xmlns:a16="http://schemas.microsoft.com/office/drawing/2014/main" id="{5867FABC-9E3B-427B-859C-675EBE44D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336240</xdr:colOff>
      <xdr:row>123</xdr:row>
      <xdr:rowOff>118011</xdr:rowOff>
    </xdr:from>
    <xdr:to>
      <xdr:col>11</xdr:col>
      <xdr:colOff>87763</xdr:colOff>
      <xdr:row>132</xdr:row>
      <xdr:rowOff>175989</xdr:rowOff>
    </xdr:to>
    <xdr:graphicFrame macro="">
      <xdr:nvGraphicFramePr>
        <xdr:cNvPr id="10" name="Chart 9">
          <a:extLst>
            <a:ext uri="{FF2B5EF4-FFF2-40B4-BE49-F238E27FC236}">
              <a16:creationId xmlns:a16="http://schemas.microsoft.com/office/drawing/2014/main" id="{C353EFD2-156C-48FB-A5C8-633003C08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477908</xdr:colOff>
      <xdr:row>130</xdr:row>
      <xdr:rowOff>82827</xdr:rowOff>
    </xdr:from>
    <xdr:to>
      <xdr:col>7</xdr:col>
      <xdr:colOff>494473</xdr:colOff>
      <xdr:row>133</xdr:row>
      <xdr:rowOff>46382</xdr:rowOff>
    </xdr:to>
    <xdr:sp macro="" textlink="">
      <xdr:nvSpPr>
        <xdr:cNvPr id="12" name="TextBox 11">
          <a:extLst>
            <a:ext uri="{FF2B5EF4-FFF2-40B4-BE49-F238E27FC236}">
              <a16:creationId xmlns:a16="http://schemas.microsoft.com/office/drawing/2014/main" id="{E951F17D-3D2A-48FD-B082-DCC6E3C9340A}"/>
            </a:ext>
          </a:extLst>
        </xdr:cNvPr>
        <xdr:cNvSpPr txBox="1"/>
      </xdr:nvSpPr>
      <xdr:spPr>
        <a:xfrm>
          <a:off x="4345058" y="29257902"/>
          <a:ext cx="769040" cy="601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 77%</a:t>
          </a:r>
        </a:p>
      </xdr:txBody>
    </xdr:sp>
    <xdr:clientData/>
  </xdr:twoCellAnchor>
  <xdr:twoCellAnchor>
    <xdr:from>
      <xdr:col>9</xdr:col>
      <xdr:colOff>463828</xdr:colOff>
      <xdr:row>53</xdr:row>
      <xdr:rowOff>186358</xdr:rowOff>
    </xdr:from>
    <xdr:to>
      <xdr:col>18</xdr:col>
      <xdr:colOff>99395</xdr:colOff>
      <xdr:row>55</xdr:row>
      <xdr:rowOff>173933</xdr:rowOff>
    </xdr:to>
    <xdr:sp macro="" textlink="">
      <xdr:nvSpPr>
        <xdr:cNvPr id="52" name="Right Brace 51">
          <a:extLst>
            <a:ext uri="{FF2B5EF4-FFF2-40B4-BE49-F238E27FC236}">
              <a16:creationId xmlns:a16="http://schemas.microsoft.com/office/drawing/2014/main" id="{67900BB9-7FB5-8492-649B-B119143D1EFE}"/>
            </a:ext>
          </a:extLst>
        </xdr:cNvPr>
        <xdr:cNvSpPr/>
      </xdr:nvSpPr>
      <xdr:spPr>
        <a:xfrm rot="16200000">
          <a:off x="9601617" y="7199656"/>
          <a:ext cx="401705" cy="6419024"/>
        </a:xfrm>
        <a:prstGeom prst="rightBrace">
          <a:avLst>
            <a:gd name="adj1" fmla="val 115055"/>
            <a:gd name="adj2" fmla="val 48848"/>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11</xdr:col>
      <xdr:colOff>422415</xdr:colOff>
      <xdr:row>52</xdr:row>
      <xdr:rowOff>99392</xdr:rowOff>
    </xdr:from>
    <xdr:to>
      <xdr:col>12</xdr:col>
      <xdr:colOff>571501</xdr:colOff>
      <xdr:row>53</xdr:row>
      <xdr:rowOff>157370</xdr:rowOff>
    </xdr:to>
    <xdr:sp macro="" textlink="$Q$43">
      <xdr:nvSpPr>
        <xdr:cNvPr id="53" name="TextBox 52">
          <a:extLst>
            <a:ext uri="{FF2B5EF4-FFF2-40B4-BE49-F238E27FC236}">
              <a16:creationId xmlns:a16="http://schemas.microsoft.com/office/drawing/2014/main" id="{B256E95F-E66C-3BE1-F4A0-6B279AB91FE4}"/>
            </a:ext>
          </a:extLst>
        </xdr:cNvPr>
        <xdr:cNvSpPr txBox="1"/>
      </xdr:nvSpPr>
      <xdr:spPr>
        <a:xfrm>
          <a:off x="8058980" y="9914283"/>
          <a:ext cx="902804" cy="26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FAF6E0-5C4A-47BE-975C-6C591BDF404B}" type="TxLink">
            <a:rPr lang="en-US" sz="1200" b="1" i="0" u="none" strike="noStrike">
              <a:solidFill>
                <a:srgbClr val="000000"/>
              </a:solidFill>
              <a:latin typeface="+mn-lt"/>
            </a:rPr>
            <a:pPr/>
            <a:t>$66,338 </a:t>
          </a:fld>
          <a:endParaRPr lang="en-US" sz="1200">
            <a:latin typeface="+mn-lt"/>
          </a:endParaRPr>
        </a:p>
      </xdr:txBody>
    </xdr:sp>
    <xdr:clientData/>
  </xdr:twoCellAnchor>
  <xdr:twoCellAnchor>
    <xdr:from>
      <xdr:col>12</xdr:col>
      <xdr:colOff>249031</xdr:colOff>
      <xdr:row>52</xdr:row>
      <xdr:rowOff>99391</xdr:rowOff>
    </xdr:from>
    <xdr:to>
      <xdr:col>19</xdr:col>
      <xdr:colOff>196161</xdr:colOff>
      <xdr:row>53</xdr:row>
      <xdr:rowOff>173934</xdr:rowOff>
    </xdr:to>
    <xdr:sp macro="" textlink="">
      <xdr:nvSpPr>
        <xdr:cNvPr id="55" name="TextBox 54">
          <a:extLst>
            <a:ext uri="{FF2B5EF4-FFF2-40B4-BE49-F238E27FC236}">
              <a16:creationId xmlns:a16="http://schemas.microsoft.com/office/drawing/2014/main" id="{EF6D89FD-ACC6-8D26-8069-B83D32B045BB}"/>
            </a:ext>
          </a:extLst>
        </xdr:cNvPr>
        <xdr:cNvSpPr txBox="1"/>
      </xdr:nvSpPr>
      <xdr:spPr>
        <a:xfrm>
          <a:off x="8631031" y="11919916"/>
          <a:ext cx="5214455" cy="284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Positive Cash Flow Over the</a:t>
          </a:r>
          <a:r>
            <a:rPr lang="en-US" sz="1200" b="1" baseline="0"/>
            <a:t> Next Twelve Months!</a:t>
          </a:r>
          <a:endParaRPr lang="en-US" sz="1200" b="1"/>
        </a:p>
      </xdr:txBody>
    </xdr:sp>
    <xdr:clientData/>
  </xdr:twoCellAnchor>
  <xdr:twoCellAnchor>
    <xdr:from>
      <xdr:col>10</xdr:col>
      <xdr:colOff>453839</xdr:colOff>
      <xdr:row>91</xdr:row>
      <xdr:rowOff>116060</xdr:rowOff>
    </xdr:from>
    <xdr:to>
      <xdr:col>16</xdr:col>
      <xdr:colOff>223354</xdr:colOff>
      <xdr:row>100</xdr:row>
      <xdr:rowOff>176440</xdr:rowOff>
    </xdr:to>
    <xdr:graphicFrame macro="">
      <xdr:nvGraphicFramePr>
        <xdr:cNvPr id="9" name="Chart 8">
          <a:extLst>
            <a:ext uri="{FF2B5EF4-FFF2-40B4-BE49-F238E27FC236}">
              <a16:creationId xmlns:a16="http://schemas.microsoft.com/office/drawing/2014/main" id="{9A994F10-12D0-4A36-8452-9AC416A58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381000</xdr:colOff>
      <xdr:row>90</xdr:row>
      <xdr:rowOff>190500</xdr:rowOff>
    </xdr:from>
    <xdr:to>
      <xdr:col>11</xdr:col>
      <xdr:colOff>150515</xdr:colOff>
      <xdr:row>100</xdr:row>
      <xdr:rowOff>46772</xdr:rowOff>
    </xdr:to>
    <xdr:graphicFrame macro="">
      <xdr:nvGraphicFramePr>
        <xdr:cNvPr id="17" name="Chart 16">
          <a:extLst>
            <a:ext uri="{FF2B5EF4-FFF2-40B4-BE49-F238E27FC236}">
              <a16:creationId xmlns:a16="http://schemas.microsoft.com/office/drawing/2014/main" id="{EEB33ABA-A6B7-4852-8CC7-F18F277C1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614621</xdr:colOff>
      <xdr:row>6</xdr:row>
      <xdr:rowOff>14382</xdr:rowOff>
    </xdr:from>
    <xdr:to>
      <xdr:col>8</xdr:col>
      <xdr:colOff>295905</xdr:colOff>
      <xdr:row>7</xdr:row>
      <xdr:rowOff>268657</xdr:rowOff>
    </xdr:to>
    <xdr:sp macro="" textlink="">
      <xdr:nvSpPr>
        <xdr:cNvPr id="54" name="TextBox 53">
          <a:extLst>
            <a:ext uri="{FF2B5EF4-FFF2-40B4-BE49-F238E27FC236}">
              <a16:creationId xmlns:a16="http://schemas.microsoft.com/office/drawing/2014/main" id="{D36B31B1-A84C-1485-8DF7-51F50182C69F}"/>
            </a:ext>
          </a:extLst>
        </xdr:cNvPr>
        <xdr:cNvSpPr txBox="1"/>
      </xdr:nvSpPr>
      <xdr:spPr>
        <a:xfrm>
          <a:off x="4481771" y="1519332"/>
          <a:ext cx="1186234"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548235"/>
              </a:solidFill>
              <a:latin typeface="Aptos Bdy"/>
              <a:ea typeface="Calibri" panose="020F0502020204030204" pitchFamily="34" charset="0"/>
              <a:cs typeface="Calibri" panose="020F0502020204030204" pitchFamily="34" charset="0"/>
            </a:rPr>
            <a:t>Liquid</a:t>
          </a:r>
          <a:r>
            <a:rPr lang="en-US" sz="1000" baseline="0">
              <a:solidFill>
                <a:srgbClr val="548235"/>
              </a:solidFill>
              <a:latin typeface="Aptos Bdy"/>
              <a:ea typeface="Calibri" panose="020F0502020204030204" pitchFamily="34" charset="0"/>
              <a:cs typeface="Calibri" panose="020F0502020204030204" pitchFamily="34" charset="0"/>
            </a:rPr>
            <a:t> but Tax Inefficent</a:t>
          </a:r>
          <a:endParaRPr lang="en-US" sz="1000">
            <a:solidFill>
              <a:srgbClr val="548235"/>
            </a:solidFill>
            <a:latin typeface="Aptos Bdy"/>
            <a:ea typeface="Calibri" panose="020F0502020204030204" pitchFamily="34" charset="0"/>
            <a:cs typeface="Calibri" panose="020F0502020204030204" pitchFamily="34" charset="0"/>
          </a:endParaRPr>
        </a:p>
      </xdr:txBody>
    </xdr:sp>
    <xdr:clientData/>
  </xdr:twoCellAnchor>
  <xdr:twoCellAnchor>
    <xdr:from>
      <xdr:col>7</xdr:col>
      <xdr:colOff>352424</xdr:colOff>
      <xdr:row>125</xdr:row>
      <xdr:rowOff>114299</xdr:rowOff>
    </xdr:from>
    <xdr:to>
      <xdr:col>8</xdr:col>
      <xdr:colOff>685799</xdr:colOff>
      <xdr:row>132</xdr:row>
      <xdr:rowOff>95249</xdr:rowOff>
    </xdr:to>
    <xdr:sp macro="" textlink="">
      <xdr:nvSpPr>
        <xdr:cNvPr id="21" name="Arc 20">
          <a:extLst>
            <a:ext uri="{FF2B5EF4-FFF2-40B4-BE49-F238E27FC236}">
              <a16:creationId xmlns:a16="http://schemas.microsoft.com/office/drawing/2014/main" id="{ACB7DE2C-AC70-5455-1017-8AA44CD1BB20}"/>
            </a:ext>
          </a:extLst>
        </xdr:cNvPr>
        <xdr:cNvSpPr/>
      </xdr:nvSpPr>
      <xdr:spPr>
        <a:xfrm rot="8406748">
          <a:off x="4972049" y="28241624"/>
          <a:ext cx="1085850" cy="1457325"/>
        </a:xfrm>
        <a:prstGeom prst="arc">
          <a:avLst>
            <a:gd name="adj1" fmla="val 16200000"/>
            <a:gd name="adj2" fmla="val 4502271"/>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157246</xdr:colOff>
      <xdr:row>111</xdr:row>
      <xdr:rowOff>208888</xdr:rowOff>
    </xdr:from>
    <xdr:to>
      <xdr:col>4</xdr:col>
      <xdr:colOff>414300</xdr:colOff>
      <xdr:row>117</xdr:row>
      <xdr:rowOff>37438</xdr:rowOff>
    </xdr:to>
    <xdr:sp macro="" textlink="">
      <xdr:nvSpPr>
        <xdr:cNvPr id="51" name="Arc 50">
          <a:extLst>
            <a:ext uri="{FF2B5EF4-FFF2-40B4-BE49-F238E27FC236}">
              <a16:creationId xmlns:a16="http://schemas.microsoft.com/office/drawing/2014/main" id="{CB340FFA-849D-4BBA-BFF1-958994142DF8}"/>
            </a:ext>
          </a:extLst>
        </xdr:cNvPr>
        <xdr:cNvSpPr/>
      </xdr:nvSpPr>
      <xdr:spPr>
        <a:xfrm rot="7973941">
          <a:off x="1504973" y="25216836"/>
          <a:ext cx="1085850" cy="1457204"/>
        </a:xfrm>
        <a:prstGeom prst="arc">
          <a:avLst>
            <a:gd name="adj1" fmla="val 16875199"/>
            <a:gd name="adj2" fmla="val 4562126"/>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0</xdr:col>
      <xdr:colOff>0</xdr:colOff>
      <xdr:row>139</xdr:row>
      <xdr:rowOff>45357</xdr:rowOff>
    </xdr:from>
    <xdr:to>
      <xdr:col>7</xdr:col>
      <xdr:colOff>515471</xdr:colOff>
      <xdr:row>150</xdr:row>
      <xdr:rowOff>37353</xdr:rowOff>
    </xdr:to>
    <xdr:graphicFrame macro="">
      <xdr:nvGraphicFramePr>
        <xdr:cNvPr id="5" name="Chart 4">
          <a:extLst>
            <a:ext uri="{FF2B5EF4-FFF2-40B4-BE49-F238E27FC236}">
              <a16:creationId xmlns:a16="http://schemas.microsoft.com/office/drawing/2014/main" id="{AE1A3172-00B7-493E-9349-D476992CD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166854</xdr:colOff>
      <xdr:row>146</xdr:row>
      <xdr:rowOff>60118</xdr:rowOff>
    </xdr:from>
    <xdr:to>
      <xdr:col>2</xdr:col>
      <xdr:colOff>355243</xdr:colOff>
      <xdr:row>148</xdr:row>
      <xdr:rowOff>278157</xdr:rowOff>
    </xdr:to>
    <xdr:sp macro="" textlink="">
      <xdr:nvSpPr>
        <xdr:cNvPr id="11" name="TextBox 10">
          <a:extLst>
            <a:ext uri="{FF2B5EF4-FFF2-40B4-BE49-F238E27FC236}">
              <a16:creationId xmlns:a16="http://schemas.microsoft.com/office/drawing/2014/main" id="{59AD1B5F-0D11-4735-B552-423FBB70BEA8}"/>
            </a:ext>
          </a:extLst>
        </xdr:cNvPr>
        <xdr:cNvSpPr txBox="1"/>
      </xdr:nvSpPr>
      <xdr:spPr>
        <a:xfrm>
          <a:off x="779442" y="32430177"/>
          <a:ext cx="800977" cy="726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 69%</a:t>
          </a:r>
        </a:p>
      </xdr:txBody>
    </xdr:sp>
    <xdr:clientData/>
  </xdr:twoCellAnchor>
  <xdr:twoCellAnchor>
    <xdr:from>
      <xdr:col>2</xdr:col>
      <xdr:colOff>322405</xdr:colOff>
      <xdr:row>142</xdr:row>
      <xdr:rowOff>18044</xdr:rowOff>
    </xdr:from>
    <xdr:to>
      <xdr:col>4</xdr:col>
      <xdr:colOff>177662</xdr:colOff>
      <xdr:row>149</xdr:row>
      <xdr:rowOff>104648</xdr:rowOff>
    </xdr:to>
    <xdr:sp macro="" textlink="">
      <xdr:nvSpPr>
        <xdr:cNvPr id="19" name="Arc 18">
          <a:extLst>
            <a:ext uri="{FF2B5EF4-FFF2-40B4-BE49-F238E27FC236}">
              <a16:creationId xmlns:a16="http://schemas.microsoft.com/office/drawing/2014/main" id="{BAB1D434-BE0A-4BE7-B298-3BD628EEFB23}"/>
            </a:ext>
          </a:extLst>
        </xdr:cNvPr>
        <xdr:cNvSpPr/>
      </xdr:nvSpPr>
      <xdr:spPr>
        <a:xfrm rot="8886965">
          <a:off x="1547581" y="31551397"/>
          <a:ext cx="1117787" cy="1752545"/>
        </a:xfrm>
        <a:prstGeom prst="arc">
          <a:avLst>
            <a:gd name="adj1" fmla="val 16200000"/>
            <a:gd name="adj2" fmla="val 4502271"/>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8</xdr:col>
      <xdr:colOff>784411</xdr:colOff>
      <xdr:row>139</xdr:row>
      <xdr:rowOff>0</xdr:rowOff>
    </xdr:from>
    <xdr:to>
      <xdr:col>15</xdr:col>
      <xdr:colOff>268940</xdr:colOff>
      <xdr:row>149</xdr:row>
      <xdr:rowOff>306294</xdr:rowOff>
    </xdr:to>
    <xdr:graphicFrame macro="">
      <xdr:nvGraphicFramePr>
        <xdr:cNvPr id="57" name="Chart 56">
          <a:extLst>
            <a:ext uri="{FF2B5EF4-FFF2-40B4-BE49-F238E27FC236}">
              <a16:creationId xmlns:a16="http://schemas.microsoft.com/office/drawing/2014/main" id="{0C04562A-22D6-4017-9483-852A205F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685312</xdr:colOff>
      <xdr:row>147</xdr:row>
      <xdr:rowOff>219988</xdr:rowOff>
    </xdr:from>
    <xdr:to>
      <xdr:col>10</xdr:col>
      <xdr:colOff>701878</xdr:colOff>
      <xdr:row>149</xdr:row>
      <xdr:rowOff>303557</xdr:rowOff>
    </xdr:to>
    <xdr:sp macro="" textlink="">
      <xdr:nvSpPr>
        <xdr:cNvPr id="60" name="TextBox 59">
          <a:extLst>
            <a:ext uri="{FF2B5EF4-FFF2-40B4-BE49-F238E27FC236}">
              <a16:creationId xmlns:a16="http://schemas.microsoft.com/office/drawing/2014/main" id="{ED905C04-AC9F-4651-AD20-E0AAAE563263}"/>
            </a:ext>
          </a:extLst>
        </xdr:cNvPr>
        <xdr:cNvSpPr txBox="1"/>
      </xdr:nvSpPr>
      <xdr:spPr>
        <a:xfrm>
          <a:off x="7095077" y="32776812"/>
          <a:ext cx="800977" cy="726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 55%</a:t>
          </a:r>
        </a:p>
      </xdr:txBody>
    </xdr:sp>
    <xdr:clientData/>
  </xdr:twoCellAnchor>
  <xdr:twoCellAnchor>
    <xdr:from>
      <xdr:col>10</xdr:col>
      <xdr:colOff>609276</xdr:colOff>
      <xdr:row>143</xdr:row>
      <xdr:rowOff>118150</xdr:rowOff>
    </xdr:from>
    <xdr:to>
      <xdr:col>12</xdr:col>
      <xdr:colOff>158239</xdr:colOff>
      <xdr:row>150</xdr:row>
      <xdr:rowOff>92695</xdr:rowOff>
    </xdr:to>
    <xdr:sp macro="" textlink="">
      <xdr:nvSpPr>
        <xdr:cNvPr id="61" name="Arc 60">
          <a:extLst>
            <a:ext uri="{FF2B5EF4-FFF2-40B4-BE49-F238E27FC236}">
              <a16:creationId xmlns:a16="http://schemas.microsoft.com/office/drawing/2014/main" id="{A2327CF7-644A-46EC-88EF-C764B7F3549A}"/>
            </a:ext>
          </a:extLst>
        </xdr:cNvPr>
        <xdr:cNvSpPr/>
      </xdr:nvSpPr>
      <xdr:spPr>
        <a:xfrm rot="8886965">
          <a:off x="7803452" y="31860679"/>
          <a:ext cx="1117787" cy="1752545"/>
        </a:xfrm>
        <a:prstGeom prst="arc">
          <a:avLst>
            <a:gd name="adj1" fmla="val 16200000"/>
            <a:gd name="adj2" fmla="val 4502271"/>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10</xdr:col>
      <xdr:colOff>724648</xdr:colOff>
      <xdr:row>123</xdr:row>
      <xdr:rowOff>141942</xdr:rowOff>
    </xdr:from>
    <xdr:to>
      <xdr:col>16</xdr:col>
      <xdr:colOff>476170</xdr:colOff>
      <xdr:row>133</xdr:row>
      <xdr:rowOff>194235</xdr:rowOff>
    </xdr:to>
    <xdr:graphicFrame macro="">
      <xdr:nvGraphicFramePr>
        <xdr:cNvPr id="3076" name="Chart 3075">
          <a:extLst>
            <a:ext uri="{FF2B5EF4-FFF2-40B4-BE49-F238E27FC236}">
              <a16:creationId xmlns:a16="http://schemas.microsoft.com/office/drawing/2014/main" id="{A525E472-E1B1-4982-919F-54181495F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537882</xdr:colOff>
      <xdr:row>131</xdr:row>
      <xdr:rowOff>170235</xdr:rowOff>
    </xdr:from>
    <xdr:to>
      <xdr:col>12</xdr:col>
      <xdr:colOff>644096</xdr:colOff>
      <xdr:row>134</xdr:row>
      <xdr:rowOff>141261</xdr:rowOff>
    </xdr:to>
    <xdr:sp macro="" textlink="">
      <xdr:nvSpPr>
        <xdr:cNvPr id="3077" name="TextBox 3076">
          <a:extLst>
            <a:ext uri="{FF2B5EF4-FFF2-40B4-BE49-F238E27FC236}">
              <a16:creationId xmlns:a16="http://schemas.microsoft.com/office/drawing/2014/main" id="{69FDC4DD-98E6-4FDF-8168-BBC2904A34E5}"/>
            </a:ext>
          </a:extLst>
        </xdr:cNvPr>
        <xdr:cNvSpPr txBox="1"/>
      </xdr:nvSpPr>
      <xdr:spPr>
        <a:xfrm>
          <a:off x="8516470" y="29402647"/>
          <a:ext cx="890626" cy="59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 70%</a:t>
          </a:r>
        </a:p>
      </xdr:txBody>
    </xdr:sp>
    <xdr:clientData/>
  </xdr:twoCellAnchor>
  <xdr:twoCellAnchor>
    <xdr:from>
      <xdr:col>12</xdr:col>
      <xdr:colOff>166276</xdr:colOff>
      <xdr:row>125</xdr:row>
      <xdr:rowOff>178941</xdr:rowOff>
    </xdr:from>
    <xdr:to>
      <xdr:col>13</xdr:col>
      <xdr:colOff>605158</xdr:colOff>
      <xdr:row>133</xdr:row>
      <xdr:rowOff>176657</xdr:rowOff>
    </xdr:to>
    <xdr:sp macro="" textlink="">
      <xdr:nvSpPr>
        <xdr:cNvPr id="3078" name="Arc 3077">
          <a:extLst>
            <a:ext uri="{FF2B5EF4-FFF2-40B4-BE49-F238E27FC236}">
              <a16:creationId xmlns:a16="http://schemas.microsoft.com/office/drawing/2014/main" id="{1D9D8816-89DC-4249-9DE4-086487321AE8}"/>
            </a:ext>
          </a:extLst>
        </xdr:cNvPr>
        <xdr:cNvSpPr/>
      </xdr:nvSpPr>
      <xdr:spPr>
        <a:xfrm rot="8406748">
          <a:off x="8929276" y="28148823"/>
          <a:ext cx="1223294" cy="1678599"/>
        </a:xfrm>
        <a:prstGeom prst="arc">
          <a:avLst>
            <a:gd name="adj1" fmla="val 16200000"/>
            <a:gd name="adj2" fmla="val 4502271"/>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108</xdr:row>
      <xdr:rowOff>0</xdr:rowOff>
    </xdr:from>
    <xdr:to>
      <xdr:col>12</xdr:col>
      <xdr:colOff>536613</xdr:colOff>
      <xdr:row>118</xdr:row>
      <xdr:rowOff>63838</xdr:rowOff>
    </xdr:to>
    <xdr:graphicFrame macro="">
      <xdr:nvGraphicFramePr>
        <xdr:cNvPr id="3083" name="Chart 3082">
          <a:extLst>
            <a:ext uri="{FF2B5EF4-FFF2-40B4-BE49-F238E27FC236}">
              <a16:creationId xmlns:a16="http://schemas.microsoft.com/office/drawing/2014/main" id="{D469569B-4C80-415B-AF94-20D5B991F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262008</xdr:colOff>
      <xdr:row>115</xdr:row>
      <xdr:rowOff>83753</xdr:rowOff>
    </xdr:from>
    <xdr:to>
      <xdr:col>12</xdr:col>
      <xdr:colOff>179969</xdr:colOff>
      <xdr:row>118</xdr:row>
      <xdr:rowOff>100318</xdr:rowOff>
    </xdr:to>
    <xdr:sp macro="" textlink="">
      <xdr:nvSpPr>
        <xdr:cNvPr id="3084" name="TextBox 3083">
          <a:extLst>
            <a:ext uri="{FF2B5EF4-FFF2-40B4-BE49-F238E27FC236}">
              <a16:creationId xmlns:a16="http://schemas.microsoft.com/office/drawing/2014/main" id="{43053D52-4EAF-4909-A3AF-3D04751EF9A6}"/>
            </a:ext>
          </a:extLst>
        </xdr:cNvPr>
        <xdr:cNvSpPr txBox="1"/>
      </xdr:nvSpPr>
      <xdr:spPr>
        <a:xfrm>
          <a:off x="8253937" y="26037110"/>
          <a:ext cx="707175" cy="64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5">
                  <a:lumMod val="75000"/>
                </a:schemeClr>
              </a:solidFill>
            </a:rPr>
            <a:t>Total US Equities:</a:t>
          </a:r>
        </a:p>
        <a:p>
          <a:pPr algn="ctr"/>
          <a:r>
            <a:rPr lang="en-US" sz="900" b="1">
              <a:solidFill>
                <a:schemeClr val="accent5">
                  <a:lumMod val="75000"/>
                </a:schemeClr>
              </a:solidFill>
            </a:rPr>
            <a:t>56%</a:t>
          </a:r>
        </a:p>
      </xdr:txBody>
    </xdr:sp>
    <xdr:clientData/>
  </xdr:twoCellAnchor>
  <xdr:twoCellAnchor>
    <xdr:from>
      <xdr:col>10</xdr:col>
      <xdr:colOff>190524</xdr:colOff>
      <xdr:row>110</xdr:row>
      <xdr:rowOff>132975</xdr:rowOff>
    </xdr:from>
    <xdr:to>
      <xdr:col>11</xdr:col>
      <xdr:colOff>481716</xdr:colOff>
      <xdr:row>117</xdr:row>
      <xdr:rowOff>181387</xdr:rowOff>
    </xdr:to>
    <xdr:sp macro="" textlink="">
      <xdr:nvSpPr>
        <xdr:cNvPr id="3085" name="Arc 3084">
          <a:extLst>
            <a:ext uri="{FF2B5EF4-FFF2-40B4-BE49-F238E27FC236}">
              <a16:creationId xmlns:a16="http://schemas.microsoft.com/office/drawing/2014/main" id="{F72B1495-E043-4A87-A2AD-0D990D320745}"/>
            </a:ext>
          </a:extLst>
        </xdr:cNvPr>
        <xdr:cNvSpPr/>
      </xdr:nvSpPr>
      <xdr:spPr>
        <a:xfrm rot="2290998">
          <a:off x="7393238" y="25043118"/>
          <a:ext cx="1080407" cy="1508912"/>
        </a:xfrm>
        <a:prstGeom prst="arc">
          <a:avLst>
            <a:gd name="adj1" fmla="val 16875199"/>
            <a:gd name="adj2" fmla="val 4562126"/>
          </a:avLst>
        </a:prstGeom>
        <a:ln w="28575">
          <a:solidFill>
            <a:schemeClr val="accent5">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15</xdr:col>
      <xdr:colOff>789213</xdr:colOff>
      <xdr:row>134</xdr:row>
      <xdr:rowOff>11946</xdr:rowOff>
    </xdr:from>
    <xdr:to>
      <xdr:col>24</xdr:col>
      <xdr:colOff>263071</xdr:colOff>
      <xdr:row>149</xdr:row>
      <xdr:rowOff>309497</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5BB1BEDA-EA8A-44F2-B8DD-EB08BFF31085}"/>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927113" y="29926796"/>
              <a:ext cx="7474858" cy="36313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0.03151</cdr:x>
      <cdr:y>0.22506</cdr:y>
    </cdr:from>
    <cdr:to>
      <cdr:x>0.18447</cdr:x>
      <cdr:y>0.31724</cdr:y>
    </cdr:to>
    <cdr:sp macro="" textlink="Charts!$AA$6">
      <cdr:nvSpPr>
        <cdr:cNvPr id="2" name="TextBox 1">
          <a:extLst xmlns:a="http://schemas.openxmlformats.org/drawingml/2006/main">
            <a:ext uri="{FF2B5EF4-FFF2-40B4-BE49-F238E27FC236}">
              <a16:creationId xmlns:a16="http://schemas.microsoft.com/office/drawing/2014/main" id="{EB94519F-674E-E916-32FC-F7146AEF97C4}"/>
            </a:ext>
          </a:extLst>
        </cdr:cNvPr>
        <cdr:cNvSpPr txBox="1"/>
      </cdr:nvSpPr>
      <cdr:spPr>
        <a:xfrm xmlns:a="http://schemas.openxmlformats.org/drawingml/2006/main">
          <a:off x="197956" y="647112"/>
          <a:ext cx="960783" cy="2650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E9ED2EB-78A4-4346-BD48-D3F7EF0E9C8A}" type="TxLink">
            <a:rPr lang="en-US" sz="1000" b="0" i="0" u="none" strike="noStrike" kern="1200">
              <a:solidFill>
                <a:srgbClr val="000000"/>
              </a:solidFill>
              <a:latin typeface="Aptos body"/>
            </a:rPr>
            <a:pPr/>
            <a:t> </a:t>
          </a:fld>
          <a:endParaRPr lang="en-US" sz="1000" kern="1200"/>
        </a:p>
      </cdr:txBody>
    </cdr:sp>
  </cdr:relSizeAnchor>
  <cdr:relSizeAnchor xmlns:cdr="http://schemas.openxmlformats.org/drawingml/2006/chartDrawing">
    <cdr:from>
      <cdr:x>0.85714</cdr:x>
      <cdr:y>0.14723</cdr:y>
    </cdr:from>
    <cdr:to>
      <cdr:x>0.99576</cdr:x>
      <cdr:y>0.27974</cdr:y>
    </cdr:to>
    <cdr:sp macro="" textlink="Charts!$AA$13">
      <cdr:nvSpPr>
        <cdr:cNvPr id="3" name="TextBox 2">
          <a:extLst xmlns:a="http://schemas.openxmlformats.org/drawingml/2006/main">
            <a:ext uri="{FF2B5EF4-FFF2-40B4-BE49-F238E27FC236}">
              <a16:creationId xmlns:a16="http://schemas.microsoft.com/office/drawing/2014/main" id="{EA38F773-5238-63DB-1CD8-8A25A67EE3E4}"/>
            </a:ext>
          </a:extLst>
        </cdr:cNvPr>
        <cdr:cNvSpPr txBox="1"/>
      </cdr:nvSpPr>
      <cdr:spPr>
        <a:xfrm xmlns:a="http://schemas.openxmlformats.org/drawingml/2006/main">
          <a:off x="5772150" y="426312"/>
          <a:ext cx="933450" cy="3836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BF6E0D6-A54D-4F1C-AAAF-9CC7BD384AC8}" type="TxLink">
            <a:rPr lang="en-US" sz="1100" b="0" i="0" u="none" strike="noStrike" kern="1200">
              <a:solidFill>
                <a:srgbClr val="000000"/>
              </a:solidFill>
              <a:latin typeface="Aptos body"/>
            </a:rPr>
            <a:pPr/>
            <a:t>$5,996,550 </a:t>
          </a:fld>
          <a:endParaRPr lang="en-US" sz="1100" kern="1200"/>
        </a:p>
      </cdr:txBody>
    </cdr:sp>
  </cdr:relSizeAnchor>
</c:userShapes>
</file>

<file path=xl/drawings/drawing11.xml><?xml version="1.0" encoding="utf-8"?>
<c:userShapes xmlns:c="http://schemas.openxmlformats.org/drawingml/2006/chart">
  <cdr:relSizeAnchor xmlns:cdr="http://schemas.openxmlformats.org/drawingml/2006/chartDrawing">
    <cdr:from>
      <cdr:x>0.09532</cdr:x>
      <cdr:y>0.10027</cdr:y>
    </cdr:from>
    <cdr:to>
      <cdr:x>0.0978</cdr:x>
      <cdr:y>0.98026</cdr:y>
    </cdr:to>
    <cdr:cxnSp macro="">
      <cdr:nvCxnSpPr>
        <cdr:cNvPr id="4" name="Straight Arrow Connector 3">
          <a:extLst xmlns:a="http://schemas.openxmlformats.org/drawingml/2006/main">
            <a:ext uri="{FF2B5EF4-FFF2-40B4-BE49-F238E27FC236}">
              <a16:creationId xmlns:a16="http://schemas.microsoft.com/office/drawing/2014/main" id="{3F8AFE33-8D44-E26F-5372-C1F6C69132D7}"/>
            </a:ext>
          </a:extLst>
        </cdr:cNvPr>
        <cdr:cNvCxnSpPr/>
      </cdr:nvCxnSpPr>
      <cdr:spPr>
        <a:xfrm xmlns:a="http://schemas.openxmlformats.org/drawingml/2006/main" flipH="1">
          <a:off x="742213" y="322551"/>
          <a:ext cx="19310" cy="2830680"/>
        </a:xfrm>
        <a:prstGeom xmlns:a="http://schemas.openxmlformats.org/drawingml/2006/main" prst="straightConnector1">
          <a:avLst/>
        </a:prstGeom>
        <a:ln xmlns:a="http://schemas.openxmlformats.org/drawingml/2006/main">
          <a:prstDash val="sysDash"/>
          <a:tailEnd type="non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0.0189</cdr:x>
      <cdr:y>0.09576</cdr:y>
    </cdr:from>
    <cdr:to>
      <cdr:x>0.09798</cdr:x>
      <cdr:y>0.32559</cdr:y>
    </cdr:to>
    <cdr:sp macro="" textlink="">
      <cdr:nvSpPr>
        <cdr:cNvPr id="5" name="TextBox 4">
          <a:extLst xmlns:a="http://schemas.openxmlformats.org/drawingml/2006/main">
            <a:ext uri="{FF2B5EF4-FFF2-40B4-BE49-F238E27FC236}">
              <a16:creationId xmlns:a16="http://schemas.microsoft.com/office/drawing/2014/main" id="{46C3C67D-6DD4-3749-9065-88C6C577CBB1}"/>
            </a:ext>
          </a:extLst>
        </cdr:cNvPr>
        <cdr:cNvSpPr txBox="1"/>
      </cdr:nvSpPr>
      <cdr:spPr>
        <a:xfrm xmlns:a="http://schemas.openxmlformats.org/drawingml/2006/main">
          <a:off x="149688" y="308025"/>
          <a:ext cx="626256" cy="7392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200" b="1" kern="1200"/>
            <a:t>Actual</a:t>
          </a:r>
          <a:r>
            <a:rPr lang="en-US" sz="1200" b="1" kern="1200" baseline="0"/>
            <a:t> Last Month</a:t>
          </a:r>
        </a:p>
        <a:p xmlns:a="http://schemas.openxmlformats.org/drawingml/2006/main">
          <a:pPr algn="ctr"/>
          <a:endParaRPr lang="en-US" sz="1200" b="1" kern="1200"/>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149225</xdr:rowOff>
    </xdr:to>
    <xdr:sp macro="" textlink="">
      <xdr:nvSpPr>
        <xdr:cNvPr id="2" name="AutoShape 2" descr="12 Warren Street, New York, NY, 10007 photo #1 of 14">
          <a:extLst>
            <a:ext uri="{FF2B5EF4-FFF2-40B4-BE49-F238E27FC236}">
              <a16:creationId xmlns:a16="http://schemas.microsoft.com/office/drawing/2014/main" id="{F136E345-5116-4F39-8864-C87FB1637966}"/>
            </a:ext>
          </a:extLst>
        </xdr:cNvPr>
        <xdr:cNvSpPr>
          <a:spLocks noChangeAspect="1" noChangeArrowheads="1"/>
        </xdr:cNvSpPr>
      </xdr:nvSpPr>
      <xdr:spPr bwMode="auto">
        <a:xfrm>
          <a:off x="0" y="0"/>
          <a:ext cx="304800" cy="3397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130175</xdr:rowOff>
    </xdr:to>
    <xdr:sp macro="" textlink="">
      <xdr:nvSpPr>
        <xdr:cNvPr id="2" name="AutoShape 2" descr="12 Warren Street, New York, NY, 10007 photo #1 of 14">
          <a:extLst>
            <a:ext uri="{FF2B5EF4-FFF2-40B4-BE49-F238E27FC236}">
              <a16:creationId xmlns:a16="http://schemas.microsoft.com/office/drawing/2014/main" id="{05097019-253C-4D2F-AD14-EA1CB72AD23E}"/>
            </a:ext>
          </a:extLst>
        </xdr:cNvPr>
        <xdr:cNvSpPr>
          <a:spLocks noChangeAspect="1" noChangeArrowheads="1"/>
        </xdr:cNvSpPr>
      </xdr:nvSpPr>
      <xdr:spPr bwMode="auto">
        <a:xfrm>
          <a:off x="0" y="0"/>
          <a:ext cx="304800" cy="3206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68</xdr:col>
      <xdr:colOff>507999</xdr:colOff>
      <xdr:row>39</xdr:row>
      <xdr:rowOff>129247</xdr:rowOff>
    </xdr:from>
    <xdr:to>
      <xdr:col>76</xdr:col>
      <xdr:colOff>239058</xdr:colOff>
      <xdr:row>54</xdr:row>
      <xdr:rowOff>76206</xdr:rowOff>
    </xdr:to>
    <xdr:graphicFrame macro="">
      <xdr:nvGraphicFramePr>
        <xdr:cNvPr id="3" name="Chart 2">
          <a:extLst>
            <a:ext uri="{FF2B5EF4-FFF2-40B4-BE49-F238E27FC236}">
              <a16:creationId xmlns:a16="http://schemas.microsoft.com/office/drawing/2014/main" id="{7BEA5942-4D95-8D4C-0622-C337A9428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68</xdr:col>
      <xdr:colOff>519205</xdr:colOff>
      <xdr:row>55</xdr:row>
      <xdr:rowOff>13820</xdr:rowOff>
    </xdr:from>
    <xdr:to>
      <xdr:col>76</xdr:col>
      <xdr:colOff>250264</xdr:colOff>
      <xdr:row>69</xdr:row>
      <xdr:rowOff>155014</xdr:rowOff>
    </xdr:to>
    <xdr:graphicFrame macro="">
      <xdr:nvGraphicFramePr>
        <xdr:cNvPr id="4" name="Chart 3">
          <a:extLst>
            <a:ext uri="{FF2B5EF4-FFF2-40B4-BE49-F238E27FC236}">
              <a16:creationId xmlns:a16="http://schemas.microsoft.com/office/drawing/2014/main" id="{8C05C3D1-5397-055D-1F89-F45EA5119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76</xdr:col>
      <xdr:colOff>440765</xdr:colOff>
      <xdr:row>39</xdr:row>
      <xdr:rowOff>162858</xdr:rowOff>
    </xdr:from>
    <xdr:to>
      <xdr:col>84</xdr:col>
      <xdr:colOff>171824</xdr:colOff>
      <xdr:row>54</xdr:row>
      <xdr:rowOff>100853</xdr:rowOff>
    </xdr:to>
    <xdr:graphicFrame macro="">
      <xdr:nvGraphicFramePr>
        <xdr:cNvPr id="5" name="Chart 4">
          <a:extLst>
            <a:ext uri="{FF2B5EF4-FFF2-40B4-BE49-F238E27FC236}">
              <a16:creationId xmlns:a16="http://schemas.microsoft.com/office/drawing/2014/main" id="{C954DF54-D4CC-7678-40C0-214CAABB1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76</xdr:col>
      <xdr:colOff>429559</xdr:colOff>
      <xdr:row>55</xdr:row>
      <xdr:rowOff>35112</xdr:rowOff>
    </xdr:from>
    <xdr:to>
      <xdr:col>84</xdr:col>
      <xdr:colOff>160618</xdr:colOff>
      <xdr:row>70</xdr:row>
      <xdr:rowOff>33244</xdr:rowOff>
    </xdr:to>
    <xdr:graphicFrame macro="">
      <xdr:nvGraphicFramePr>
        <xdr:cNvPr id="6" name="Chart 5">
          <a:extLst>
            <a:ext uri="{FF2B5EF4-FFF2-40B4-BE49-F238E27FC236}">
              <a16:creationId xmlns:a16="http://schemas.microsoft.com/office/drawing/2014/main" id="{C47276A6-3493-D01D-5E6C-6937F2186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bin"/><Relationship Id="rId1" Type="http://schemas.openxmlformats.org/officeDocument/2006/relationships/hyperlink" Target="https://curvo.eu/backtest/en/compare-indexes/dow-jones-industrial-average-vs-msci-acwi-vs-sp-500?currency=usd"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3.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0B15-93A8-4CE8-A9E3-4ABCA11874F1}">
  <dimension ref="A1:D19"/>
  <sheetViews>
    <sheetView showGridLines="0" workbookViewId="0">
      <selection activeCell="C19" sqref="C19"/>
    </sheetView>
  </sheetViews>
  <sheetFormatPr defaultRowHeight="14.5"/>
  <cols>
    <col min="1" max="1" width="43.453125" customWidth="1"/>
    <col min="2" max="3" width="20.81640625" customWidth="1"/>
    <col min="4" max="4" width="47.453125" customWidth="1"/>
  </cols>
  <sheetData>
    <row r="1" spans="1:4" ht="18" customHeight="1">
      <c r="A1" s="511"/>
      <c r="B1" s="544" t="s">
        <v>258</v>
      </c>
      <c r="C1" s="544" t="s">
        <v>259</v>
      </c>
      <c r="D1" s="511"/>
    </row>
    <row r="2" spans="1:4" ht="18" customHeight="1">
      <c r="A2" s="511"/>
      <c r="B2" s="511"/>
      <c r="C2" s="511"/>
      <c r="D2" s="511"/>
    </row>
    <row r="3" spans="1:4" ht="18" customHeight="1">
      <c r="A3" s="517" t="s">
        <v>431</v>
      </c>
      <c r="B3" s="518">
        <v>750000</v>
      </c>
      <c r="C3" s="518">
        <v>1500000</v>
      </c>
      <c r="D3" s="519"/>
    </row>
    <row r="4" spans="1:4" ht="18" customHeight="1">
      <c r="A4" s="517" t="s">
        <v>274</v>
      </c>
      <c r="B4" s="520">
        <v>0.3</v>
      </c>
      <c r="C4" s="520">
        <v>0.3</v>
      </c>
      <c r="D4" s="519"/>
    </row>
    <row r="5" spans="1:4" ht="18" customHeight="1">
      <c r="A5" s="515" t="s">
        <v>275</v>
      </c>
      <c r="B5" s="516">
        <f>+B3*B4</f>
        <v>225000</v>
      </c>
      <c r="C5" s="516">
        <f>+C3*C4</f>
        <v>450000</v>
      </c>
      <c r="D5" s="514"/>
    </row>
    <row r="6" spans="1:4" ht="18" customHeight="1">
      <c r="A6" s="517"/>
      <c r="B6" s="521"/>
      <c r="C6" s="521"/>
      <c r="D6" s="519"/>
    </row>
    <row r="7" spans="1:4" ht="18" customHeight="1">
      <c r="A7" s="517" t="s">
        <v>276</v>
      </c>
      <c r="B7" s="518">
        <f>+B8*B3</f>
        <v>3750</v>
      </c>
      <c r="C7" s="518">
        <f>+C8*C3</f>
        <v>15000</v>
      </c>
      <c r="D7" s="517" t="s">
        <v>261</v>
      </c>
    </row>
    <row r="8" spans="1:4" ht="18" customHeight="1">
      <c r="A8" s="522" t="s">
        <v>429</v>
      </c>
      <c r="B8" s="523">
        <v>5.0000000000000001E-3</v>
      </c>
      <c r="C8" s="524">
        <v>0.01</v>
      </c>
      <c r="D8" s="519"/>
    </row>
    <row r="9" spans="1:4" ht="18" customHeight="1">
      <c r="A9" s="517" t="s">
        <v>262</v>
      </c>
      <c r="B9" s="518">
        <v>400</v>
      </c>
      <c r="C9" s="518">
        <v>900</v>
      </c>
      <c r="D9" s="517" t="s">
        <v>263</v>
      </c>
    </row>
    <row r="10" spans="1:4" ht="18" customHeight="1">
      <c r="A10" s="517" t="s">
        <v>264</v>
      </c>
      <c r="B10" s="518">
        <v>300</v>
      </c>
      <c r="C10" s="518">
        <v>700</v>
      </c>
      <c r="D10" s="517" t="s">
        <v>265</v>
      </c>
    </row>
    <row r="11" spans="1:4" ht="18" customHeight="1">
      <c r="A11" s="517" t="s">
        <v>266</v>
      </c>
      <c r="B11" s="518">
        <v>25</v>
      </c>
      <c r="C11" s="518">
        <v>50</v>
      </c>
      <c r="D11" s="517" t="s">
        <v>267</v>
      </c>
    </row>
    <row r="12" spans="1:4" ht="18" customHeight="1">
      <c r="A12" s="517" t="s">
        <v>268</v>
      </c>
      <c r="B12" s="518">
        <v>500</v>
      </c>
      <c r="C12" s="518">
        <v>1500</v>
      </c>
      <c r="D12" s="517" t="s">
        <v>269</v>
      </c>
    </row>
    <row r="13" spans="1:4" ht="18" customHeight="1">
      <c r="A13" s="517" t="s">
        <v>270</v>
      </c>
      <c r="B13" s="518">
        <v>100</v>
      </c>
      <c r="C13" s="518">
        <v>300</v>
      </c>
      <c r="D13" s="517" t="s">
        <v>271</v>
      </c>
    </row>
    <row r="14" spans="1:4" ht="18" customHeight="1">
      <c r="A14" s="517" t="s">
        <v>272</v>
      </c>
      <c r="B14" s="518">
        <v>500</v>
      </c>
      <c r="C14" s="518">
        <v>2000</v>
      </c>
      <c r="D14" s="517"/>
    </row>
    <row r="15" spans="1:4" ht="18" customHeight="1">
      <c r="A15" s="512" t="s">
        <v>273</v>
      </c>
      <c r="B15" s="525">
        <f>+SUM(B9:B14)+B7</f>
        <v>5575</v>
      </c>
      <c r="C15" s="525">
        <f>+SUM(C9:C14)+C7</f>
        <v>20450</v>
      </c>
      <c r="D15" s="513"/>
    </row>
    <row r="16" spans="1:4" s="32" customFormat="1" ht="18" customHeight="1">
      <c r="A16" s="545" t="s">
        <v>430</v>
      </c>
      <c r="B16" s="546">
        <f>+B15+B7+B5</f>
        <v>234325</v>
      </c>
      <c r="C16" s="546">
        <f>+C15+C7+C5</f>
        <v>485450</v>
      </c>
      <c r="D16" s="546"/>
    </row>
    <row r="17" spans="1:4" ht="18" customHeight="1">
      <c r="A17" s="512" t="s">
        <v>260</v>
      </c>
      <c r="B17" s="511"/>
      <c r="C17" s="525">
        <f>AVERAGE(B16:C16)</f>
        <v>359887.5</v>
      </c>
      <c r="D17" s="525"/>
    </row>
    <row r="18" spans="1:4" s="32" customFormat="1" ht="18" customHeight="1">
      <c r="A18" s="547" t="s">
        <v>607</v>
      </c>
      <c r="B18" s="547"/>
      <c r="C18" s="548">
        <f ca="1">-Charts!Q43*2.5</f>
        <v>-165845.78878989513</v>
      </c>
      <c r="D18" s="548"/>
    </row>
    <row r="19" spans="1:4" ht="18" customHeight="1">
      <c r="A19" s="526" t="s">
        <v>432</v>
      </c>
      <c r="B19" s="527"/>
      <c r="C19" s="528">
        <f ca="1">+C17+C18</f>
        <v>194041.71121010487</v>
      </c>
      <c r="D19" s="5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E1B7-9FDF-4DE7-B427-B8ABF81B2F5E}">
  <dimension ref="A1:G22"/>
  <sheetViews>
    <sheetView showGridLines="0" zoomScale="85" zoomScaleNormal="85" workbookViewId="0">
      <selection activeCell="C16" sqref="C16"/>
    </sheetView>
  </sheetViews>
  <sheetFormatPr defaultRowHeight="14.5"/>
  <cols>
    <col min="1" max="1" width="68.1796875" customWidth="1"/>
    <col min="2" max="2" width="22.54296875" customWidth="1"/>
    <col min="3" max="3" width="18" customWidth="1"/>
    <col min="4" max="4" width="42.54296875" customWidth="1"/>
  </cols>
  <sheetData>
    <row r="1" spans="1:7" ht="34" customHeight="1" thickBot="1">
      <c r="A1" s="639" t="s">
        <v>2</v>
      </c>
      <c r="B1" s="636" t="s">
        <v>537</v>
      </c>
      <c r="C1" s="1043">
        <f>+Charts!S9</f>
        <v>4648383.97</v>
      </c>
      <c r="D1" s="1044"/>
    </row>
    <row r="2" spans="1:7" ht="34" customHeight="1" thickBot="1">
      <c r="A2" s="628" t="s">
        <v>526</v>
      </c>
      <c r="B2" s="637" t="s">
        <v>537</v>
      </c>
      <c r="C2" s="629">
        <f>+'Cash Flow'!AX10</f>
        <v>970000</v>
      </c>
      <c r="D2" s="630"/>
    </row>
    <row r="3" spans="1:7" ht="34" customHeight="1" thickBot="1">
      <c r="A3" s="639" t="s">
        <v>528</v>
      </c>
      <c r="B3" s="636" t="s">
        <v>538</v>
      </c>
      <c r="C3" s="633">
        <f ca="1">+Charts!Q43</f>
        <v>66338.315515958049</v>
      </c>
      <c r="D3" s="634" t="s">
        <v>531</v>
      </c>
      <c r="F3">
        <v>3000</v>
      </c>
      <c r="G3">
        <v>12000</v>
      </c>
    </row>
    <row r="4" spans="1:7" ht="34" customHeight="1" thickBot="1">
      <c r="A4" s="628" t="s">
        <v>529</v>
      </c>
      <c r="B4" s="637" t="s">
        <v>538</v>
      </c>
      <c r="C4" s="631">
        <f ca="1">+Charts!T43</f>
        <v>-4358.5094291810874</v>
      </c>
      <c r="D4" s="632" t="s">
        <v>658</v>
      </c>
      <c r="F4" s="37">
        <f ca="1">+F3/C3</f>
        <v>4.5222734051459802E-2</v>
      </c>
      <c r="G4" s="37">
        <f ca="1">+G3/C3</f>
        <v>0.18089093620583921</v>
      </c>
    </row>
    <row r="5" spans="1:7" ht="34" customHeight="1" thickBot="1">
      <c r="A5" s="628" t="s">
        <v>527</v>
      </c>
      <c r="B5" s="637" t="s">
        <v>537</v>
      </c>
      <c r="C5" s="631">
        <f>++Charts!T42</f>
        <v>-24939.419999999991</v>
      </c>
      <c r="D5" s="632" t="s">
        <v>604</v>
      </c>
    </row>
    <row r="6" spans="1:7" ht="40.5" customHeight="1" thickBot="1">
      <c r="A6" s="628" t="s">
        <v>659</v>
      </c>
      <c r="B6" s="772"/>
      <c r="C6" s="772">
        <f>-OPTIMIZER!J16</f>
        <v>-129384.79396907208</v>
      </c>
      <c r="D6" s="632" t="s">
        <v>660</v>
      </c>
    </row>
    <row r="7" spans="1:7" ht="37" customHeight="1" thickBot="1">
      <c r="A7" s="639" t="s">
        <v>536</v>
      </c>
      <c r="B7" s="638"/>
      <c r="C7" s="1045" t="s">
        <v>661</v>
      </c>
      <c r="D7" s="1046"/>
    </row>
    <row r="8" spans="1:7" ht="34" customHeight="1" thickBot="1">
      <c r="A8" s="628" t="s">
        <v>535</v>
      </c>
      <c r="B8" s="637" t="s">
        <v>537</v>
      </c>
      <c r="C8" s="631">
        <f>+Charts!Z12</f>
        <v>372050</v>
      </c>
      <c r="D8" s="632"/>
    </row>
    <row r="9" spans="1:7" ht="34" customHeight="1" thickBot="1">
      <c r="A9" s="628" t="s">
        <v>654</v>
      </c>
      <c r="B9" s="637"/>
      <c r="C9" s="635">
        <f>+Charts!Q48</f>
        <v>15.815411487656155</v>
      </c>
      <c r="D9" s="632" t="s">
        <v>539</v>
      </c>
    </row>
    <row r="10" spans="1:7" ht="34" customHeight="1" thickBot="1">
      <c r="A10" s="853" t="s">
        <v>534</v>
      </c>
      <c r="B10" s="854" t="s">
        <v>663</v>
      </c>
      <c r="C10" s="855">
        <f ca="1">+SUM(OPTIMIZER!E24:E26)-SUM(OPTIMIZER!G24:G26)</f>
        <v>162684.07482082304</v>
      </c>
      <c r="D10" s="856"/>
    </row>
    <row r="11" spans="1:7" ht="34" customHeight="1" thickBot="1">
      <c r="A11" s="853" t="s">
        <v>718</v>
      </c>
      <c r="B11" s="854" t="s">
        <v>663</v>
      </c>
      <c r="C11" s="857">
        <f ca="1">+OPTIMIZER!AZ29</f>
        <v>7207.4340319807234</v>
      </c>
      <c r="D11" s="858" t="str">
        <f ca="1">+TEXT(C11/C3,"0%")&amp;" increase to your cash flow"</f>
        <v>11% increase to your cash flow</v>
      </c>
    </row>
    <row r="12" spans="1:7" ht="34" customHeight="1" thickBot="1">
      <c r="A12" s="851" t="s">
        <v>5</v>
      </c>
      <c r="B12" s="852"/>
      <c r="C12" s="1045" t="s">
        <v>661</v>
      </c>
      <c r="D12" s="1046"/>
    </row>
    <row r="13" spans="1:7" ht="34" customHeight="1" thickBot="1">
      <c r="A13" s="711" t="s">
        <v>656</v>
      </c>
      <c r="B13" s="637"/>
      <c r="C13" s="631">
        <f ca="1">+Charts!AB137</f>
        <v>222965.43304876564</v>
      </c>
      <c r="D13" s="632"/>
    </row>
    <row r="14" spans="1:7" ht="34" customHeight="1" thickBot="1">
      <c r="A14" s="711" t="s">
        <v>657</v>
      </c>
      <c r="B14" s="637"/>
      <c r="C14" s="631">
        <f ca="1">+OPTIMIZER!H27</f>
        <v>162684.07482082304</v>
      </c>
      <c r="D14" s="632"/>
    </row>
    <row r="15" spans="1:7" ht="34" customHeight="1" thickBot="1">
      <c r="A15" s="853" t="s">
        <v>662</v>
      </c>
      <c r="B15" s="854" t="s">
        <v>663</v>
      </c>
      <c r="C15" s="857">
        <f ca="1">SUM(C13:C14)</f>
        <v>385649.50786958868</v>
      </c>
      <c r="D15" s="858" t="str">
        <f ca="1">TEXT(C15/Charts!AB148,"0%")&amp;" increase to investments"</f>
        <v>15% increase to investments</v>
      </c>
    </row>
    <row r="16" spans="1:7" ht="44.25" customHeight="1"/>
    <row r="17" ht="44.25" customHeight="1"/>
    <row r="18" ht="44.25" customHeight="1"/>
    <row r="19" ht="44.25" customHeight="1"/>
    <row r="20" ht="44.25" customHeight="1"/>
    <row r="21" ht="44.25" customHeight="1"/>
    <row r="22" ht="44.25" customHeight="1"/>
  </sheetData>
  <mergeCells count="3">
    <mergeCell ref="C1:D1"/>
    <mergeCell ref="C7:D7"/>
    <mergeCell ref="C12:D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A516-9C81-492C-8D0F-5EB5F59EBCD4}">
  <dimension ref="B2:K16"/>
  <sheetViews>
    <sheetView showGridLines="0" zoomScale="70" zoomScaleNormal="70" workbookViewId="0"/>
  </sheetViews>
  <sheetFormatPr defaultColWidth="8.7265625" defaultRowHeight="35.5" customHeight="1" outlineLevelRow="1"/>
  <cols>
    <col min="1" max="1" width="8.7265625" style="840"/>
    <col min="2" max="3" width="20.26953125" style="840" customWidth="1"/>
    <col min="4" max="4" width="21.453125" style="840" customWidth="1"/>
    <col min="5" max="5" width="31.81640625" style="840" customWidth="1"/>
    <col min="6" max="6" width="15.54296875" style="840" customWidth="1"/>
    <col min="7" max="7" width="18.54296875" style="840" customWidth="1"/>
    <col min="8" max="8" width="18.54296875" style="883" customWidth="1"/>
    <col min="9" max="9" width="29.26953125" style="840" customWidth="1"/>
    <col min="10" max="10" width="18.54296875" style="840" customWidth="1"/>
    <col min="11" max="16384" width="8.7265625" style="840"/>
  </cols>
  <sheetData>
    <row r="2" spans="2:11" ht="35.5" customHeight="1" thickBot="1">
      <c r="E2" s="1047" t="s">
        <v>664</v>
      </c>
      <c r="F2" s="1048"/>
      <c r="G2" s="1049"/>
      <c r="H2" s="1050" t="s">
        <v>366</v>
      </c>
      <c r="I2" s="1051"/>
      <c r="J2" s="1048"/>
      <c r="K2"/>
    </row>
    <row r="3" spans="2:11" ht="52" customHeight="1" thickTop="1" thickBot="1">
      <c r="B3" s="859"/>
      <c r="C3" s="860" t="s">
        <v>665</v>
      </c>
      <c r="D3" s="861"/>
      <c r="E3" s="861" t="s">
        <v>666</v>
      </c>
      <c r="F3" s="861" t="s">
        <v>667</v>
      </c>
      <c r="G3" s="862" t="s">
        <v>668</v>
      </c>
      <c r="H3" s="863" t="s">
        <v>668</v>
      </c>
      <c r="I3" s="864" t="s">
        <v>669</v>
      </c>
      <c r="J3" s="865" t="s">
        <v>670</v>
      </c>
    </row>
    <row r="4" spans="2:11" ht="60.65" hidden="1" customHeight="1" outlineLevel="1" thickBot="1">
      <c r="B4" s="866"/>
      <c r="C4" s="867"/>
      <c r="D4" s="866" t="str">
        <f>'Model Portfolios'!H11</f>
        <v>US Large Cap</v>
      </c>
      <c r="E4" s="866" t="s">
        <v>671</v>
      </c>
      <c r="F4" s="868">
        <v>2.9999999999999997E-4</v>
      </c>
      <c r="G4" s="869">
        <f>'Model Portfolios'!M11</f>
        <v>0</v>
      </c>
      <c r="H4" s="870">
        <f>G4</f>
        <v>0</v>
      </c>
      <c r="I4" s="871">
        <v>6</v>
      </c>
      <c r="J4" s="872">
        <f>IF(ISERROR(H4/I4),"-",H4/I4)</f>
        <v>0</v>
      </c>
    </row>
    <row r="5" spans="2:11" ht="13" hidden="1" customHeight="1" outlineLevel="1" thickBot="1">
      <c r="B5" s="873"/>
      <c r="C5" s="867"/>
      <c r="D5" s="866" t="str">
        <f>'Model Portfolios'!H12</f>
        <v>US Total Market</v>
      </c>
      <c r="E5" s="874" t="s">
        <v>678</v>
      </c>
      <c r="F5" s="868">
        <v>2.9999999999999997E-4</v>
      </c>
      <c r="G5" s="869">
        <f>'Model Portfolios'!M12</f>
        <v>0</v>
      </c>
      <c r="H5" s="870">
        <v>0</v>
      </c>
      <c r="I5" s="871">
        <v>0</v>
      </c>
      <c r="J5" s="872" t="str">
        <f t="shared" ref="J5:J13" si="0">IF(ISERROR(H5/I5),"-",H5/I5)</f>
        <v>-</v>
      </c>
    </row>
    <row r="6" spans="2:11" ht="60.65" customHeight="1" collapsed="1" thickBot="1">
      <c r="B6" s="873"/>
      <c r="C6" s="867"/>
      <c r="D6" s="866" t="str">
        <f>'Model Portfolios'!H13</f>
        <v>US Large Cap Growth</v>
      </c>
      <c r="E6" s="874" t="s">
        <v>672</v>
      </c>
      <c r="F6" s="868">
        <v>2E-3</v>
      </c>
      <c r="G6" s="884">
        <f>'Model Portfolios'!M13</f>
        <v>80000</v>
      </c>
      <c r="H6" s="885">
        <f t="shared" ref="H6:H11" si="1">G6</f>
        <v>80000</v>
      </c>
      <c r="I6" s="871">
        <v>6</v>
      </c>
      <c r="J6" s="889">
        <f t="shared" si="0"/>
        <v>13333.333333333334</v>
      </c>
    </row>
    <row r="7" spans="2:11" ht="60.65" hidden="1" customHeight="1" outlineLevel="1" thickBot="1">
      <c r="B7" s="873"/>
      <c r="C7" s="867"/>
      <c r="D7" s="866" t="str">
        <f>'Model Portfolios'!H14</f>
        <v>US Dividend / Value</v>
      </c>
      <c r="E7" s="874" t="s">
        <v>673</v>
      </c>
      <c r="F7" s="868">
        <v>5.9999999999999995E-4</v>
      </c>
      <c r="G7" s="884">
        <f>'Model Portfolios'!M14</f>
        <v>0</v>
      </c>
      <c r="H7" s="885">
        <f t="shared" ref="H7:H8" si="2">G7</f>
        <v>0</v>
      </c>
      <c r="I7" s="871">
        <v>6</v>
      </c>
      <c r="J7" s="889">
        <f t="shared" ref="J7:J8" si="3">IF(ISERROR(H7/I7),"-",H7/I7)</f>
        <v>0</v>
      </c>
    </row>
    <row r="8" spans="2:11" ht="60.65" hidden="1" customHeight="1" outlineLevel="1" thickBot="1">
      <c r="B8" s="873"/>
      <c r="C8" s="867"/>
      <c r="D8" s="866" t="str">
        <f>'Model Portfolios'!H15</f>
        <v>US Small Cap</v>
      </c>
      <c r="E8" s="874" t="s">
        <v>679</v>
      </c>
      <c r="F8" s="868">
        <v>1.9E-3</v>
      </c>
      <c r="G8" s="884">
        <f>'Model Portfolios'!M15</f>
        <v>0</v>
      </c>
      <c r="H8" s="885">
        <f t="shared" si="2"/>
        <v>0</v>
      </c>
      <c r="I8" s="871">
        <v>6</v>
      </c>
      <c r="J8" s="889">
        <f t="shared" si="3"/>
        <v>0</v>
      </c>
    </row>
    <row r="9" spans="2:11" ht="60.65" hidden="1" customHeight="1" outlineLevel="1" thickBot="1">
      <c r="B9" s="873"/>
      <c r="C9" s="867"/>
      <c r="D9" s="866" t="str">
        <f>'Model Portfolios'!H17</f>
        <v>Developed International</v>
      </c>
      <c r="E9" s="874" t="s">
        <v>674</v>
      </c>
      <c r="F9" s="868">
        <v>6.9999999999999999E-4</v>
      </c>
      <c r="G9" s="884">
        <f>'Model Portfolios'!M17</f>
        <v>0</v>
      </c>
      <c r="H9" s="885">
        <f t="shared" si="1"/>
        <v>0</v>
      </c>
      <c r="I9" s="871">
        <v>6</v>
      </c>
      <c r="J9" s="889">
        <f t="shared" si="0"/>
        <v>0</v>
      </c>
    </row>
    <row r="10" spans="2:11" ht="60.65" hidden="1" customHeight="1" outlineLevel="1" thickBot="1">
      <c r="B10" s="873"/>
      <c r="C10" s="867"/>
      <c r="D10" s="866" t="str">
        <f>'Model Portfolios'!H18</f>
        <v>Emerging Markets</v>
      </c>
      <c r="E10" s="874" t="s">
        <v>675</v>
      </c>
      <c r="F10" s="868">
        <v>8.9999999999999998E-4</v>
      </c>
      <c r="G10" s="884">
        <f>'Model Portfolios'!M18</f>
        <v>0</v>
      </c>
      <c r="H10" s="885">
        <f t="shared" si="1"/>
        <v>0</v>
      </c>
      <c r="I10" s="871">
        <v>6</v>
      </c>
      <c r="J10" s="889">
        <f t="shared" si="0"/>
        <v>0</v>
      </c>
    </row>
    <row r="11" spans="2:11" ht="60.65" hidden="1" customHeight="1" outlineLevel="1" thickBot="1">
      <c r="B11" s="873"/>
      <c r="C11" s="867"/>
      <c r="D11" s="866" t="str">
        <f>'Model Portfolios'!H20</f>
        <v>REITS, Commodities</v>
      </c>
      <c r="E11" s="874" t="s">
        <v>676</v>
      </c>
      <c r="F11" s="868">
        <v>6.7000000000000002E-3</v>
      </c>
      <c r="G11" s="884">
        <f>'Model Portfolios'!M20/2</f>
        <v>0</v>
      </c>
      <c r="H11" s="885">
        <f t="shared" si="1"/>
        <v>0</v>
      </c>
      <c r="I11" s="871">
        <v>6</v>
      </c>
      <c r="J11" s="889">
        <f t="shared" si="0"/>
        <v>0</v>
      </c>
    </row>
    <row r="12" spans="2:11" ht="60.65" customHeight="1" collapsed="1" thickBot="1">
      <c r="B12" s="873"/>
      <c r="C12" s="867"/>
      <c r="D12" s="866" t="str">
        <f>'Model Portfolios'!H21</f>
        <v>Bonds</v>
      </c>
      <c r="E12" s="874" t="s">
        <v>680</v>
      </c>
      <c r="F12" s="868">
        <v>6.7000000000000002E-3</v>
      </c>
      <c r="G12" s="884">
        <f ca="1">'Model Portfolios'!M21/2</f>
        <v>41342.037410411518</v>
      </c>
      <c r="H12" s="885">
        <f t="shared" ref="H12" ca="1" si="4">G12</f>
        <v>41342.037410411518</v>
      </c>
      <c r="I12" s="871">
        <v>6</v>
      </c>
      <c r="J12" s="889">
        <f t="shared" ref="J12" ca="1" si="5">IF(ISERROR(H12/I12),"-",H12/I12)</f>
        <v>6890.3395684019197</v>
      </c>
    </row>
    <row r="13" spans="2:11" ht="60.65" hidden="1" customHeight="1" outlineLevel="1" thickBot="1">
      <c r="B13" s="873"/>
      <c r="C13" s="867"/>
      <c r="D13" s="866" t="str">
        <f>'Model Portfolios'!H22</f>
        <v>Crypto</v>
      </c>
      <c r="E13" s="874"/>
      <c r="F13" s="868"/>
      <c r="G13" s="884">
        <f>G11</f>
        <v>0</v>
      </c>
      <c r="H13" s="886">
        <v>0</v>
      </c>
      <c r="I13" s="875">
        <v>0</v>
      </c>
      <c r="J13" s="889" t="str">
        <f t="shared" si="0"/>
        <v>-</v>
      </c>
    </row>
    <row r="14" spans="2:11" ht="45.65" customHeight="1" collapsed="1" thickBot="1">
      <c r="B14" s="876" t="s">
        <v>31</v>
      </c>
      <c r="C14" s="877"/>
      <c r="D14" s="878"/>
      <c r="E14" s="879"/>
      <c r="F14" s="880"/>
      <c r="G14" s="887">
        <f ca="1">SUM(G4:G13)</f>
        <v>121342.03741041152</v>
      </c>
      <c r="H14" s="888">
        <f ca="1">SUM(H4:H13)</f>
        <v>121342.03741041152</v>
      </c>
      <c r="I14" s="881"/>
      <c r="J14" s="890">
        <f ca="1">SUM(J4:J13)</f>
        <v>20223.672901735255</v>
      </c>
    </row>
    <row r="15" spans="2:11" customFormat="1" ht="45.65" customHeight="1" thickBot="1">
      <c r="G15" s="882" t="s">
        <v>677</v>
      </c>
      <c r="H15" s="882">
        <f ca="1">G14-H14</f>
        <v>0</v>
      </c>
    </row>
    <row r="16" spans="2:11" customFormat="1" ht="60.65" customHeight="1">
      <c r="B16" s="1"/>
      <c r="G16" s="840"/>
      <c r="H16" s="883"/>
    </row>
  </sheetData>
  <mergeCells count="2">
    <mergeCell ref="E2:G2"/>
    <mergeCell ref="H2:J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EA34-A48D-4545-9DD3-552384A77228}">
  <dimension ref="A2:BA39"/>
  <sheetViews>
    <sheetView showGridLines="0" topLeftCell="H9" zoomScale="70" zoomScaleNormal="70" workbookViewId="0">
      <selection activeCell="V9" sqref="V9"/>
    </sheetView>
  </sheetViews>
  <sheetFormatPr defaultColWidth="9.1796875" defaultRowHeight="16" outlineLevelCol="1"/>
  <cols>
    <col min="1" max="2" width="9.1796875" style="311"/>
    <col min="3" max="3" width="27.7265625" style="311" customWidth="1"/>
    <col min="4" max="5" width="22.453125" style="311" customWidth="1"/>
    <col min="6" max="6" width="28.54296875" style="311" customWidth="1"/>
    <col min="7" max="7" width="16.7265625" customWidth="1"/>
    <col min="8" max="8" width="26.1796875" style="311" customWidth="1"/>
    <col min="9" max="9" width="15.54296875" style="311" customWidth="1"/>
    <col min="10" max="11" width="22.453125" style="311" hidden="1" customWidth="1" outlineLevel="1"/>
    <col min="12" max="12" width="19.54296875" style="311" customWidth="1" collapsed="1"/>
    <col min="13" max="13" width="19.54296875" style="311" customWidth="1"/>
    <col min="14" max="14" width="16.453125" style="311" customWidth="1"/>
    <col min="15" max="16" width="16.453125" customWidth="1"/>
    <col min="17" max="17" width="16.7265625" customWidth="1"/>
    <col min="18" max="18" width="27.7265625" style="311" customWidth="1"/>
    <col min="19" max="24" width="16.7265625" style="311" customWidth="1"/>
    <col min="25" max="25" width="16.7265625" customWidth="1"/>
    <col min="26" max="28" width="20.54296875" customWidth="1"/>
    <col min="29" max="29" width="27.7265625" style="311" customWidth="1"/>
    <col min="30" max="30" width="25.1796875" style="311" customWidth="1"/>
    <col min="31" max="33" width="20.54296875" style="311" customWidth="1"/>
    <col min="34" max="34" width="19.7265625" customWidth="1"/>
    <col min="35" max="35" width="32.26953125" style="311" customWidth="1"/>
    <col min="36" max="36" width="90.81640625" style="311" customWidth="1"/>
    <col min="37" max="39" width="20.54296875" style="311" customWidth="1"/>
    <col min="40" max="40" width="9.1796875" style="311"/>
    <col min="41" max="42" width="32.26953125" style="311" customWidth="1"/>
    <col min="43" max="45" width="31.26953125" style="311" customWidth="1"/>
    <col min="46" max="46" width="32.26953125" style="311" customWidth="1"/>
    <col min="47" max="47" width="9.1796875" style="311"/>
    <col min="48" max="49" width="32.26953125" style="311" customWidth="1"/>
    <col min="50" max="52" width="31.26953125" style="311" customWidth="1"/>
    <col min="53" max="53" width="32.26953125" style="311" customWidth="1"/>
    <col min="54" max="16384" width="9.1796875" style="311"/>
  </cols>
  <sheetData>
    <row r="2" spans="3:53">
      <c r="H2" s="311" t="s">
        <v>389</v>
      </c>
      <c r="AE2" s="311" t="s">
        <v>334</v>
      </c>
      <c r="AF2" s="311" t="s">
        <v>335</v>
      </c>
      <c r="AG2" s="311" t="s">
        <v>350</v>
      </c>
    </row>
    <row r="3" spans="3:53">
      <c r="H3" s="438" t="s">
        <v>394</v>
      </c>
      <c r="I3" s="439"/>
    </row>
    <row r="4" spans="3:53">
      <c r="C4"/>
      <c r="D4"/>
      <c r="H4" s="439" t="s">
        <v>393</v>
      </c>
      <c r="I4" s="440">
        <f ca="1">+I10</f>
        <v>186585.93342009356</v>
      </c>
      <c r="AC4" s="377" t="s">
        <v>368</v>
      </c>
      <c r="AD4" s="377"/>
      <c r="AE4" s="377"/>
      <c r="AF4" s="377"/>
      <c r="AG4" s="377"/>
      <c r="AH4" s="44"/>
      <c r="AI4" s="377"/>
      <c r="AJ4" s="377"/>
      <c r="AK4" s="377"/>
      <c r="AL4" s="377"/>
      <c r="AM4" s="377"/>
      <c r="AN4" s="377"/>
      <c r="AO4" s="377"/>
      <c r="AP4" s="377"/>
      <c r="AQ4" s="377"/>
      <c r="AR4" s="377"/>
      <c r="AS4" s="377"/>
      <c r="AT4" s="377"/>
      <c r="AU4" s="377"/>
      <c r="AV4" s="377"/>
      <c r="AW4" s="377"/>
      <c r="AX4" s="377"/>
      <c r="AY4" s="377"/>
      <c r="AZ4" s="377"/>
      <c r="BA4" s="377"/>
    </row>
    <row r="5" spans="3:53">
      <c r="C5"/>
      <c r="D5"/>
      <c r="H5" s="439" t="s">
        <v>523</v>
      </c>
      <c r="I5" s="441">
        <f ca="1">+OPTIMIZER!AR27-OPTIMIZER!AM27</f>
        <v>162684.07482082304</v>
      </c>
      <c r="R5" s="311" t="s">
        <v>367</v>
      </c>
      <c r="AC5" s="311" t="s">
        <v>333</v>
      </c>
      <c r="AI5" s="311" t="s">
        <v>357</v>
      </c>
      <c r="AO5" s="311" t="s">
        <v>332</v>
      </c>
      <c r="AV5" s="311" t="s">
        <v>358</v>
      </c>
    </row>
    <row r="6" spans="3:53">
      <c r="C6"/>
      <c r="D6"/>
      <c r="H6" s="438" t="s">
        <v>392</v>
      </c>
      <c r="I6" s="442">
        <f>+OPTIMIZER!P27*12+OPTIMIZER!S27</f>
        <v>0</v>
      </c>
      <c r="K6"/>
    </row>
    <row r="7" spans="3:53" ht="16.5" thickBot="1">
      <c r="C7"/>
      <c r="D7"/>
      <c r="H7" s="439" t="s">
        <v>31</v>
      </c>
      <c r="I7" s="440">
        <f ca="1">+SUM(I4:I6)</f>
        <v>349270.00824091659</v>
      </c>
      <c r="K7"/>
      <c r="L7" s="892">
        <f ca="1">+I7/I25</f>
        <v>0.23138125752959032</v>
      </c>
    </row>
    <row r="8" spans="3:53" ht="30.75" customHeight="1" thickBot="1">
      <c r="C8"/>
      <c r="D8"/>
      <c r="E8"/>
      <c r="F8"/>
      <c r="J8"/>
      <c r="K8" s="376"/>
      <c r="L8" s="424" t="s">
        <v>383</v>
      </c>
      <c r="M8" s="424"/>
      <c r="N8" s="424"/>
      <c r="R8" s="323"/>
      <c r="S8" s="359" t="s">
        <v>388</v>
      </c>
      <c r="T8" s="360"/>
      <c r="U8" s="359" t="s">
        <v>89</v>
      </c>
      <c r="V8" s="360"/>
      <c r="W8" s="357" t="s">
        <v>366</v>
      </c>
      <c r="X8" s="356"/>
      <c r="Y8" t="s">
        <v>581</v>
      </c>
      <c r="AA8" t="s">
        <v>617</v>
      </c>
      <c r="AC8" s="406" t="s">
        <v>379</v>
      </c>
      <c r="AD8" s="406"/>
      <c r="AE8" s="371" t="s">
        <v>377</v>
      </c>
      <c r="AF8" s="371" t="s">
        <v>378</v>
      </c>
      <c r="AG8" s="371" t="s">
        <v>376</v>
      </c>
      <c r="AK8" s="328" t="s">
        <v>353</v>
      </c>
      <c r="AL8" s="328" t="s">
        <v>354</v>
      </c>
      <c r="AM8" s="328" t="s">
        <v>355</v>
      </c>
      <c r="AQ8" s="329" t="s">
        <v>306</v>
      </c>
      <c r="AR8" s="329" t="s">
        <v>307</v>
      </c>
      <c r="AS8" s="329" t="s">
        <v>308</v>
      </c>
      <c r="AX8" s="329" t="s">
        <v>306</v>
      </c>
      <c r="AY8" s="329" t="s">
        <v>307</v>
      </c>
      <c r="AZ8" s="329" t="s">
        <v>308</v>
      </c>
    </row>
    <row r="9" spans="3:53" ht="46.5" customHeight="1" thickBot="1">
      <c r="C9" s="408" t="s">
        <v>325</v>
      </c>
      <c r="D9" s="409" t="s">
        <v>373</v>
      </c>
      <c r="E9" s="410" t="s">
        <v>374</v>
      </c>
      <c r="F9" s="383" t="s">
        <v>375</v>
      </c>
      <c r="H9" s="408" t="s">
        <v>325</v>
      </c>
      <c r="I9" s="409" t="s">
        <v>373</v>
      </c>
      <c r="J9" s="410" t="s">
        <v>374</v>
      </c>
      <c r="K9" s="381" t="s">
        <v>375</v>
      </c>
      <c r="L9" s="457" t="s">
        <v>391</v>
      </c>
      <c r="M9" s="457" t="s">
        <v>390</v>
      </c>
      <c r="N9" s="383" t="s">
        <v>385</v>
      </c>
      <c r="O9" s="383" t="s">
        <v>387</v>
      </c>
      <c r="P9" s="383" t="s">
        <v>384</v>
      </c>
      <c r="R9" s="354" t="s">
        <v>325</v>
      </c>
      <c r="S9" s="353" t="s">
        <v>381</v>
      </c>
      <c r="T9" s="405" t="s">
        <v>380</v>
      </c>
      <c r="U9" s="405" t="s">
        <v>381</v>
      </c>
      <c r="V9" s="355" t="s">
        <v>380</v>
      </c>
      <c r="W9" s="358" t="s">
        <v>381</v>
      </c>
      <c r="X9" s="394" t="s">
        <v>380</v>
      </c>
      <c r="Y9" s="358" t="s">
        <v>381</v>
      </c>
      <c r="Z9" s="394" t="s">
        <v>380</v>
      </c>
      <c r="AA9" s="358" t="s">
        <v>381</v>
      </c>
      <c r="AB9" s="394" t="s">
        <v>380</v>
      </c>
      <c r="AC9" s="372" t="s">
        <v>325</v>
      </c>
      <c r="AD9" s="373" t="s">
        <v>252</v>
      </c>
      <c r="AE9" s="483" t="s">
        <v>395</v>
      </c>
      <c r="AF9" s="483" t="s">
        <v>351</v>
      </c>
      <c r="AG9" s="483" t="s">
        <v>352</v>
      </c>
      <c r="AI9" s="311" t="s">
        <v>325</v>
      </c>
      <c r="AK9" s="330" t="s">
        <v>356</v>
      </c>
      <c r="AL9" s="330" t="s">
        <v>351</v>
      </c>
      <c r="AM9" s="330" t="s">
        <v>352</v>
      </c>
      <c r="AO9" s="311" t="s">
        <v>325</v>
      </c>
      <c r="AQ9" s="331" t="s">
        <v>309</v>
      </c>
      <c r="AR9" s="331"/>
      <c r="AS9" s="331"/>
      <c r="AV9" s="311" t="s">
        <v>325</v>
      </c>
      <c r="AX9" s="331" t="s">
        <v>309</v>
      </c>
      <c r="AY9" s="331"/>
      <c r="AZ9" s="331"/>
    </row>
    <row r="10" spans="3:53" s="312" customFormat="1" ht="28.5" customHeight="1" thickTop="1" thickBot="1">
      <c r="C10" s="369" t="s">
        <v>3</v>
      </c>
      <c r="D10" s="414">
        <f>+Charts!AB130</f>
        <v>36379.499628672078</v>
      </c>
      <c r="E10" s="413">
        <f t="shared" ref="E10:E15" si="0">+X10*(E$23)</f>
        <v>0</v>
      </c>
      <c r="F10" s="444">
        <f t="shared" ref="F10:F15" si="1">+E10-D10</f>
        <v>-36379.499628672078</v>
      </c>
      <c r="G10"/>
      <c r="H10" s="369" t="s">
        <v>3</v>
      </c>
      <c r="I10" s="414">
        <f ca="1">+Charts!AC103</f>
        <v>186585.93342009356</v>
      </c>
      <c r="J10" s="413">
        <f t="shared" ref="J10:J15" ca="1" si="2">+W10*(J$23)</f>
        <v>0</v>
      </c>
      <c r="K10" s="419">
        <f t="shared" ref="K10:K15" ca="1" si="3">+J10-I10</f>
        <v>-186585.93342009356</v>
      </c>
      <c r="L10" s="451">
        <f ca="1">+K10</f>
        <v>-186585.93342009356</v>
      </c>
      <c r="M10" s="451">
        <v>0</v>
      </c>
      <c r="N10" s="445">
        <f t="shared" ref="N10:N15" ca="1" si="4">+L10+I10+M10</f>
        <v>0</v>
      </c>
      <c r="O10" s="361">
        <f t="shared" ref="O10:O15" ca="1" si="5">+N10/$N$25</f>
        <v>0</v>
      </c>
      <c r="P10" s="433">
        <f>+W10</f>
        <v>0</v>
      </c>
      <c r="Q10" s="7"/>
      <c r="R10" s="369" t="str">
        <f>+H10</f>
        <v>Cash</v>
      </c>
      <c r="S10" s="333">
        <f ca="1">+I10/$I$25</f>
        <v>0.12360777305074101</v>
      </c>
      <c r="T10" s="333">
        <f t="shared" ref="T10:T15" si="6">+D10/$D$25</f>
        <v>3.6379499628672082E-2</v>
      </c>
      <c r="U10" s="361">
        <v>0</v>
      </c>
      <c r="V10" s="362">
        <v>0</v>
      </c>
      <c r="W10" s="395">
        <v>0</v>
      </c>
      <c r="X10" s="396">
        <v>0</v>
      </c>
      <c r="Y10" s="7">
        <f ca="1">+U10*$I$25</f>
        <v>0</v>
      </c>
      <c r="Z10" s="7">
        <f>+X10*$D$25</f>
        <v>0</v>
      </c>
      <c r="AA10" s="7">
        <f ca="1">+W10*$I$25</f>
        <v>0</v>
      </c>
      <c r="AB10" s="7">
        <f>+X10*$D$25</f>
        <v>0</v>
      </c>
      <c r="AC10" s="332" t="s">
        <v>398</v>
      </c>
      <c r="AD10" s="334" t="s">
        <v>360</v>
      </c>
      <c r="AE10" s="333">
        <v>0.1</v>
      </c>
      <c r="AF10" s="333">
        <v>0.15</v>
      </c>
      <c r="AG10" s="333">
        <v>0.2</v>
      </c>
      <c r="AH10"/>
      <c r="AI10" s="332" t="s">
        <v>318</v>
      </c>
      <c r="AJ10" s="335" t="s">
        <v>338</v>
      </c>
      <c r="AK10" s="333">
        <v>0.25</v>
      </c>
      <c r="AL10" s="333"/>
      <c r="AM10" s="333"/>
      <c r="AO10" s="332" t="s">
        <v>318</v>
      </c>
      <c r="AP10" s="336" t="s">
        <v>305</v>
      </c>
      <c r="AQ10" s="333">
        <v>0.25</v>
      </c>
      <c r="AR10" s="333"/>
      <c r="AS10" s="333"/>
      <c r="AT10" s="335" t="s">
        <v>315</v>
      </c>
      <c r="AV10" s="332" t="s">
        <v>318</v>
      </c>
      <c r="AW10" s="336" t="s">
        <v>305</v>
      </c>
      <c r="AX10" s="333">
        <v>0.25</v>
      </c>
      <c r="AY10" s="333"/>
      <c r="AZ10" s="333"/>
      <c r="BA10" s="335" t="s">
        <v>315</v>
      </c>
    </row>
    <row r="11" spans="3:53" s="312" customFormat="1" ht="40.5" customHeight="1" thickTop="1" thickBot="1">
      <c r="C11" s="337" t="s">
        <v>398</v>
      </c>
      <c r="D11" s="407">
        <f>+Charts!AB126</f>
        <v>100000</v>
      </c>
      <c r="E11" s="415">
        <f t="shared" si="0"/>
        <v>249999.99999999997</v>
      </c>
      <c r="F11" s="444">
        <f t="shared" si="1"/>
        <v>149999.99999999997</v>
      </c>
      <c r="G11"/>
      <c r="H11" s="337" t="str">
        <f>+C11</f>
        <v>US Large Cap</v>
      </c>
      <c r="I11" s="407">
        <f ca="1">+Charts!AC106</f>
        <v>435000</v>
      </c>
      <c r="J11" s="415">
        <f t="shared" ca="1" si="2"/>
        <v>358468.16020724794</v>
      </c>
      <c r="K11" s="419">
        <f t="shared" ca="1" si="3"/>
        <v>-76531.839792752056</v>
      </c>
      <c r="L11" s="452">
        <v>0</v>
      </c>
      <c r="M11" s="452">
        <v>0</v>
      </c>
      <c r="N11" s="446">
        <f t="shared" ca="1" si="4"/>
        <v>435000</v>
      </c>
      <c r="O11" s="361">
        <f t="shared" ca="1" si="5"/>
        <v>0.26013882475624633</v>
      </c>
      <c r="P11" s="434">
        <f t="shared" ref="P11:P25" si="7">+W11</f>
        <v>0.25</v>
      </c>
      <c r="Q11" s="7"/>
      <c r="R11" s="369" t="str">
        <f t="shared" ref="R11:R24" si="8">+H11</f>
        <v>US Large Cap</v>
      </c>
      <c r="S11" s="333">
        <f t="shared" ref="S11:S15" ca="1" si="9">+I11/$I$25</f>
        <v>0.28817489234845978</v>
      </c>
      <c r="T11" s="333">
        <f t="shared" si="6"/>
        <v>0.1</v>
      </c>
      <c r="U11" s="361">
        <f>+AF10</f>
        <v>0.15</v>
      </c>
      <c r="V11" s="362">
        <v>0.2</v>
      </c>
      <c r="W11" s="395">
        <v>0.25</v>
      </c>
      <c r="X11" s="396">
        <v>0.25</v>
      </c>
      <c r="Y11" s="7">
        <f t="shared" ref="Y11:Y24" ca="1" si="10">+U11*$I$25</f>
        <v>226425</v>
      </c>
      <c r="Z11" s="7">
        <f t="shared" ref="Z11:Z24" si="11">+X11*$D$25</f>
        <v>249999.99999999997</v>
      </c>
      <c r="AA11" s="7">
        <f t="shared" ref="AA11:AA24" ca="1" si="12">+W11*$I$25</f>
        <v>377375</v>
      </c>
      <c r="AB11" s="7">
        <f t="shared" ref="AB11:AB24" si="13">+X11*$D$25</f>
        <v>249999.99999999997</v>
      </c>
      <c r="AC11" s="332" t="s">
        <v>521</v>
      </c>
      <c r="AD11" s="339" t="s">
        <v>361</v>
      </c>
      <c r="AE11" s="338">
        <v>0.05</v>
      </c>
      <c r="AF11" s="333">
        <v>0.05</v>
      </c>
      <c r="AG11" s="333">
        <v>0.05</v>
      </c>
      <c r="AH11"/>
      <c r="AI11" s="337" t="s">
        <v>319</v>
      </c>
      <c r="AJ11" s="340" t="s">
        <v>337</v>
      </c>
      <c r="AK11" s="338">
        <v>0</v>
      </c>
      <c r="AL11" s="333">
        <v>0.4</v>
      </c>
      <c r="AM11" s="333">
        <v>0.35</v>
      </c>
      <c r="AO11" s="337" t="s">
        <v>319</v>
      </c>
      <c r="AP11" s="340" t="s">
        <v>320</v>
      </c>
      <c r="AQ11" s="338">
        <v>0</v>
      </c>
      <c r="AR11" s="333">
        <v>0.45</v>
      </c>
      <c r="AS11" s="333">
        <v>0.4</v>
      </c>
      <c r="AT11" s="340"/>
      <c r="AV11" s="337" t="s">
        <v>319</v>
      </c>
      <c r="AW11" s="340" t="s">
        <v>320</v>
      </c>
      <c r="AX11" s="338">
        <v>0</v>
      </c>
      <c r="AY11" s="333">
        <v>0.35</v>
      </c>
      <c r="AZ11" s="333">
        <v>0.3</v>
      </c>
      <c r="BA11" s="340"/>
    </row>
    <row r="12" spans="3:53" s="312" customFormat="1" ht="28.5" customHeight="1" thickTop="1" thickBot="1">
      <c r="C12" s="337" t="s">
        <v>521</v>
      </c>
      <c r="D12" s="407">
        <f>+Charts!AB125</f>
        <v>400000</v>
      </c>
      <c r="E12" s="415">
        <f t="shared" si="0"/>
        <v>149999.99999999997</v>
      </c>
      <c r="F12" s="444">
        <f t="shared" si="1"/>
        <v>-250000.00000000003</v>
      </c>
      <c r="G12"/>
      <c r="H12" s="337" t="str">
        <f t="shared" ref="H12:H24" si="14">+C12</f>
        <v>US Total Market</v>
      </c>
      <c r="I12" s="407">
        <f ca="1">+Charts!AC105</f>
        <v>379877.58423793013</v>
      </c>
      <c r="J12" s="415">
        <f t="shared" ca="1" si="2"/>
        <v>143387.26408289917</v>
      </c>
      <c r="K12" s="419">
        <f t="shared" ca="1" si="3"/>
        <v>-236490.32015503096</v>
      </c>
      <c r="L12" s="452">
        <v>0</v>
      </c>
      <c r="M12" s="452"/>
      <c r="N12" s="446">
        <f t="shared" ca="1" si="4"/>
        <v>379877.58423793013</v>
      </c>
      <c r="O12" s="361">
        <f t="shared" ca="1" si="5"/>
        <v>0.22717450187332669</v>
      </c>
      <c r="P12" s="434">
        <f t="shared" si="7"/>
        <v>0.1</v>
      </c>
      <c r="Q12" s="7"/>
      <c r="R12" s="369" t="str">
        <f t="shared" si="8"/>
        <v>US Total Market</v>
      </c>
      <c r="S12" s="333">
        <f t="shared" ca="1" si="9"/>
        <v>0.25165788952496199</v>
      </c>
      <c r="T12" s="333">
        <f t="shared" si="6"/>
        <v>0.4</v>
      </c>
      <c r="U12" s="361">
        <f t="shared" ref="U12:U21" si="15">+AF11</f>
        <v>0.05</v>
      </c>
      <c r="V12" s="362">
        <v>0.05</v>
      </c>
      <c r="W12" s="395">
        <v>0.1</v>
      </c>
      <c r="X12" s="396">
        <v>0.15</v>
      </c>
      <c r="Y12" s="7">
        <f t="shared" ca="1" si="10"/>
        <v>75475</v>
      </c>
      <c r="Z12" s="7">
        <f t="shared" si="11"/>
        <v>149999.99999999997</v>
      </c>
      <c r="AA12" s="7">
        <f t="shared" ca="1" si="12"/>
        <v>150950</v>
      </c>
      <c r="AB12" s="7">
        <f t="shared" si="13"/>
        <v>149999.99999999997</v>
      </c>
      <c r="AC12" s="332" t="s">
        <v>612</v>
      </c>
      <c r="AD12" s="341" t="s">
        <v>362</v>
      </c>
      <c r="AE12" s="338">
        <v>0.05</v>
      </c>
      <c r="AF12" s="338">
        <v>0.1</v>
      </c>
      <c r="AG12" s="338">
        <v>0.15</v>
      </c>
      <c r="AH12"/>
      <c r="AI12" s="332" t="s">
        <v>317</v>
      </c>
      <c r="AJ12" s="340" t="s">
        <v>341</v>
      </c>
      <c r="AK12" s="338">
        <v>0.15</v>
      </c>
      <c r="AL12" s="338">
        <v>0.15</v>
      </c>
      <c r="AM12" s="338">
        <v>0.2</v>
      </c>
      <c r="AO12" s="332" t="s">
        <v>317</v>
      </c>
      <c r="AP12" s="342" t="s">
        <v>321</v>
      </c>
      <c r="AQ12" s="338">
        <v>0.15</v>
      </c>
      <c r="AR12" s="338">
        <v>0.2</v>
      </c>
      <c r="AS12" s="338">
        <v>0.25</v>
      </c>
      <c r="AT12" s="340"/>
      <c r="AV12" s="332" t="s">
        <v>317</v>
      </c>
      <c r="AW12" s="342" t="s">
        <v>321</v>
      </c>
      <c r="AX12" s="338">
        <v>0.15</v>
      </c>
      <c r="AY12" s="338">
        <v>0.15</v>
      </c>
      <c r="AZ12" s="338">
        <v>0.2</v>
      </c>
      <c r="BA12" s="340"/>
    </row>
    <row r="13" spans="3:53" s="312" customFormat="1" ht="28.5" customHeight="1" thickTop="1" thickBot="1">
      <c r="C13" s="337" t="s">
        <v>612</v>
      </c>
      <c r="D13" s="407">
        <v>0</v>
      </c>
      <c r="E13" s="415">
        <f t="shared" si="0"/>
        <v>149999.99999999997</v>
      </c>
      <c r="F13" s="444">
        <f t="shared" si="1"/>
        <v>149999.99999999997</v>
      </c>
      <c r="G13"/>
      <c r="H13" s="337" t="str">
        <f t="shared" si="14"/>
        <v>US Large Cap Growth</v>
      </c>
      <c r="I13" s="407">
        <v>0</v>
      </c>
      <c r="J13" s="415">
        <f t="shared" ca="1" si="2"/>
        <v>143387.26408289917</v>
      </c>
      <c r="K13" s="419">
        <f t="shared" ca="1" si="3"/>
        <v>143387.26408289917</v>
      </c>
      <c r="L13" s="452">
        <v>100000</v>
      </c>
      <c r="M13" s="452">
        <v>80000</v>
      </c>
      <c r="N13" s="446">
        <f t="shared" si="4"/>
        <v>180000</v>
      </c>
      <c r="O13" s="361">
        <f t="shared" ca="1" si="5"/>
        <v>0.10764365162327434</v>
      </c>
      <c r="P13" s="434">
        <f t="shared" si="7"/>
        <v>0.1</v>
      </c>
      <c r="Q13" s="7"/>
      <c r="R13" s="369" t="str">
        <f t="shared" si="8"/>
        <v>US Large Cap Growth</v>
      </c>
      <c r="S13" s="338">
        <f t="shared" ca="1" si="9"/>
        <v>0</v>
      </c>
      <c r="T13" s="333">
        <f t="shared" si="6"/>
        <v>0</v>
      </c>
      <c r="U13" s="361">
        <f t="shared" si="15"/>
        <v>0.1</v>
      </c>
      <c r="V13" s="363">
        <v>0.15</v>
      </c>
      <c r="W13" s="395">
        <v>0.1</v>
      </c>
      <c r="X13" s="396">
        <v>0.15</v>
      </c>
      <c r="Y13" s="7">
        <f t="shared" ca="1" si="10"/>
        <v>150950</v>
      </c>
      <c r="Z13" s="7">
        <f t="shared" si="11"/>
        <v>149999.99999999997</v>
      </c>
      <c r="AA13" s="7">
        <f t="shared" ca="1" si="12"/>
        <v>150950</v>
      </c>
      <c r="AB13" s="7">
        <f t="shared" si="13"/>
        <v>149999.99999999997</v>
      </c>
      <c r="AC13" s="332" t="s">
        <v>178</v>
      </c>
      <c r="AD13" s="341" t="s">
        <v>364</v>
      </c>
      <c r="AE13" s="338">
        <v>0.1</v>
      </c>
      <c r="AF13" s="338">
        <v>0.05</v>
      </c>
      <c r="AG13" s="338">
        <v>0.05</v>
      </c>
      <c r="AH13"/>
      <c r="AI13" s="332" t="s">
        <v>322</v>
      </c>
      <c r="AJ13" s="340" t="s">
        <v>340</v>
      </c>
      <c r="AK13" s="338">
        <v>0.1</v>
      </c>
      <c r="AL13" s="338"/>
      <c r="AM13" s="338"/>
      <c r="AO13" s="332" t="s">
        <v>322</v>
      </c>
      <c r="AP13" s="342"/>
      <c r="AQ13" s="338">
        <v>0.1</v>
      </c>
      <c r="AR13" s="338"/>
      <c r="AS13" s="338"/>
      <c r="AT13" s="340" t="s">
        <v>316</v>
      </c>
      <c r="AV13" s="332" t="s">
        <v>322</v>
      </c>
      <c r="AW13" s="342"/>
      <c r="AX13" s="338">
        <v>0.1</v>
      </c>
      <c r="AY13" s="338"/>
      <c r="AZ13" s="338"/>
      <c r="BA13" s="340" t="s">
        <v>316</v>
      </c>
    </row>
    <row r="14" spans="3:53" s="312" customFormat="1" ht="28.5" customHeight="1" thickTop="1" thickBot="1">
      <c r="C14" s="337" t="s">
        <v>178</v>
      </c>
      <c r="D14" s="407">
        <v>0</v>
      </c>
      <c r="E14" s="415">
        <f t="shared" si="0"/>
        <v>50000</v>
      </c>
      <c r="F14" s="444">
        <f t="shared" si="1"/>
        <v>50000</v>
      </c>
      <c r="G14"/>
      <c r="H14" s="337" t="str">
        <f t="shared" si="14"/>
        <v>US Dividend / Value</v>
      </c>
      <c r="I14" s="407">
        <f ca="1">+Charts!AC108</f>
        <v>94368.991437834629</v>
      </c>
      <c r="J14" s="415">
        <f t="shared" ca="1" si="2"/>
        <v>71693.632041449586</v>
      </c>
      <c r="K14" s="419">
        <f t="shared" ca="1" si="3"/>
        <v>-22675.359396385044</v>
      </c>
      <c r="L14" s="452"/>
      <c r="M14" s="452"/>
      <c r="N14" s="446">
        <f t="shared" ca="1" si="4"/>
        <v>94368.991437834629</v>
      </c>
      <c r="O14" s="361">
        <f t="shared" ca="1" si="5"/>
        <v>5.6434571324300173E-2</v>
      </c>
      <c r="P14" s="434">
        <f t="shared" si="7"/>
        <v>0.05</v>
      </c>
      <c r="Q14" s="7"/>
      <c r="R14" s="369" t="str">
        <f t="shared" si="8"/>
        <v>US Dividend / Value</v>
      </c>
      <c r="S14" s="338">
        <f t="shared" ca="1" si="9"/>
        <v>6.2516721720990154E-2</v>
      </c>
      <c r="T14" s="333">
        <f t="shared" si="6"/>
        <v>0</v>
      </c>
      <c r="U14" s="361">
        <f t="shared" si="15"/>
        <v>0.05</v>
      </c>
      <c r="V14" s="363">
        <v>0.05</v>
      </c>
      <c r="W14" s="395">
        <v>0.05</v>
      </c>
      <c r="X14" s="396">
        <f>+V14</f>
        <v>0.05</v>
      </c>
      <c r="Y14" s="7">
        <f t="shared" ca="1" si="10"/>
        <v>75475</v>
      </c>
      <c r="Z14" s="7">
        <f t="shared" si="11"/>
        <v>50000</v>
      </c>
      <c r="AA14" s="7">
        <f t="shared" ca="1" si="12"/>
        <v>75475</v>
      </c>
      <c r="AB14" s="7">
        <f t="shared" si="13"/>
        <v>50000</v>
      </c>
      <c r="AC14" s="332" t="s">
        <v>177</v>
      </c>
      <c r="AD14" s="341" t="s">
        <v>363</v>
      </c>
      <c r="AE14" s="338">
        <v>0.05</v>
      </c>
      <c r="AF14" s="338">
        <v>0.1</v>
      </c>
      <c r="AG14" s="338">
        <v>0.15</v>
      </c>
      <c r="AH14"/>
      <c r="AI14" s="332" t="s">
        <v>326</v>
      </c>
      <c r="AJ14" s="340" t="s">
        <v>339</v>
      </c>
      <c r="AK14" s="338">
        <v>0</v>
      </c>
      <c r="AL14" s="338">
        <v>0.1</v>
      </c>
      <c r="AM14" s="338">
        <v>0.15</v>
      </c>
      <c r="AO14" s="332" t="s">
        <v>326</v>
      </c>
      <c r="AP14" s="342"/>
      <c r="AQ14" s="338">
        <v>0</v>
      </c>
      <c r="AR14" s="338">
        <v>0.1</v>
      </c>
      <c r="AS14" s="338">
        <v>0.15</v>
      </c>
      <c r="AT14" s="340" t="s">
        <v>316</v>
      </c>
      <c r="AV14" s="332" t="s">
        <v>326</v>
      </c>
      <c r="AW14" s="342"/>
      <c r="AX14" s="338">
        <v>0</v>
      </c>
      <c r="AY14" s="338">
        <v>0.1</v>
      </c>
      <c r="AZ14" s="338">
        <v>0.1</v>
      </c>
      <c r="BA14" s="340" t="s">
        <v>316</v>
      </c>
    </row>
    <row r="15" spans="3:53" s="312" customFormat="1" ht="28.5" customHeight="1" thickTop="1" thickBot="1">
      <c r="C15" s="337" t="s">
        <v>177</v>
      </c>
      <c r="D15" s="407">
        <f>+Charts!AB127</f>
        <v>274264.47466138931</v>
      </c>
      <c r="E15" s="415">
        <f t="shared" si="0"/>
        <v>100000</v>
      </c>
      <c r="F15" s="444">
        <f t="shared" si="1"/>
        <v>-174264.47466138931</v>
      </c>
      <c r="G15"/>
      <c r="H15" s="337" t="str">
        <f t="shared" si="14"/>
        <v>US Small Cap</v>
      </c>
      <c r="I15" s="407">
        <f ca="1">+Charts!AC107</f>
        <v>49317.756246552664</v>
      </c>
      <c r="J15" s="415">
        <f t="shared" ca="1" si="2"/>
        <v>84066.319430665462</v>
      </c>
      <c r="K15" s="419">
        <f t="shared" ca="1" si="3"/>
        <v>34748.563184112798</v>
      </c>
      <c r="L15" s="452"/>
      <c r="M15" s="452"/>
      <c r="N15" s="446">
        <f t="shared" ca="1" si="4"/>
        <v>49317.756246552664</v>
      </c>
      <c r="O15" s="361">
        <f t="shared" ca="1" si="5"/>
        <v>2.9493018734697098E-2</v>
      </c>
      <c r="P15" s="434">
        <f t="shared" ca="1" si="7"/>
        <v>5.8628860776688385E-2</v>
      </c>
      <c r="Q15" s="7"/>
      <c r="R15" s="369" t="str">
        <f t="shared" si="8"/>
        <v>US Small Cap</v>
      </c>
      <c r="S15" s="338">
        <f t="shared" ca="1" si="9"/>
        <v>3.2671584131535383E-2</v>
      </c>
      <c r="T15" s="333">
        <f t="shared" si="6"/>
        <v>0.27426447466138931</v>
      </c>
      <c r="U15" s="361">
        <f t="shared" si="15"/>
        <v>0.1</v>
      </c>
      <c r="V15" s="363">
        <v>0.1</v>
      </c>
      <c r="W15" s="395">
        <f ca="1">1-SUM(W10:W14,W19:W22,W24)</f>
        <v>5.8628860776688385E-2</v>
      </c>
      <c r="X15" s="396">
        <v>0.1</v>
      </c>
      <c r="Y15" s="7">
        <f t="shared" ca="1" si="10"/>
        <v>150950</v>
      </c>
      <c r="Z15" s="7">
        <f t="shared" si="11"/>
        <v>100000</v>
      </c>
      <c r="AA15" s="7">
        <f t="shared" ca="1" si="12"/>
        <v>88500.265342411119</v>
      </c>
      <c r="AB15" s="7">
        <f t="shared" si="13"/>
        <v>100000</v>
      </c>
      <c r="AC15" s="343" t="s">
        <v>314</v>
      </c>
      <c r="AD15" s="374" t="s">
        <v>359</v>
      </c>
      <c r="AE15" s="384">
        <f>+SUM(AE10:AE14)</f>
        <v>0.35000000000000003</v>
      </c>
      <c r="AF15" s="384">
        <f>+SUM(AF10:AF14)</f>
        <v>0.45000000000000007</v>
      </c>
      <c r="AG15" s="384">
        <f>+SUM(AG10:AG14)</f>
        <v>0.6</v>
      </c>
      <c r="AH15"/>
      <c r="AI15" s="343" t="s">
        <v>314</v>
      </c>
      <c r="AJ15" s="468"/>
      <c r="AK15" s="384">
        <f>+SUM(AK10:AK14)</f>
        <v>0.5</v>
      </c>
      <c r="AL15" s="384">
        <f>+SUM(AL10:AL14)</f>
        <v>0.65</v>
      </c>
      <c r="AM15" s="384">
        <f>+SUM(AM10:AM14)</f>
        <v>0.70000000000000007</v>
      </c>
      <c r="AO15" s="343" t="s">
        <v>314</v>
      </c>
      <c r="AP15" s="345"/>
      <c r="AQ15" s="344">
        <f>+SUM(AQ10:AQ14)</f>
        <v>0.5</v>
      </c>
      <c r="AR15" s="344">
        <f>+SUM(AR10:AR14)</f>
        <v>0.75</v>
      </c>
      <c r="AS15" s="344">
        <f>+SUM(AS10:AS14)</f>
        <v>0.8</v>
      </c>
      <c r="AT15" s="345"/>
      <c r="AV15" s="343" t="s">
        <v>314</v>
      </c>
      <c r="AW15" s="345"/>
      <c r="AX15" s="344">
        <f>+SUM(AX10:AX14)</f>
        <v>0.5</v>
      </c>
      <c r="AY15" s="344">
        <f>+SUM(AY10:AY14)</f>
        <v>0.6</v>
      </c>
      <c r="AZ15" s="344">
        <f>+SUM(AZ10:AZ14)</f>
        <v>0.6</v>
      </c>
      <c r="BA15" s="345"/>
    </row>
    <row r="16" spans="3:53" s="312" customFormat="1" ht="28.5" customHeight="1" thickBot="1">
      <c r="C16" s="386" t="s">
        <v>314</v>
      </c>
      <c r="D16" s="443">
        <f>+SUM(D11:D15)</f>
        <v>774264.47466138937</v>
      </c>
      <c r="E16" s="412">
        <f>+SUM(E11:E15)</f>
        <v>699999.99999999988</v>
      </c>
      <c r="F16" s="428">
        <f>+SUM(F11:F15)</f>
        <v>-74264.474661389395</v>
      </c>
      <c r="G16"/>
      <c r="H16" s="386" t="s">
        <v>314</v>
      </c>
      <c r="I16" s="443">
        <f ca="1">+SUM(I11:I15)</f>
        <v>958564.33192231751</v>
      </c>
      <c r="J16" s="412">
        <f ca="1">+SUM(J11:J15)</f>
        <v>801002.63984516135</v>
      </c>
      <c r="K16" s="420">
        <f ca="1">+SUM(K11:K15)</f>
        <v>-157561.69207715607</v>
      </c>
      <c r="L16" s="453">
        <f>+SUM(L11:L15)</f>
        <v>100000</v>
      </c>
      <c r="M16" s="453"/>
      <c r="N16" s="447">
        <f ca="1">+SUM(N11:N15)</f>
        <v>1138564.3319223174</v>
      </c>
      <c r="O16" s="431">
        <f ca="1">+SUM(O11:O15)</f>
        <v>0.68088456831184474</v>
      </c>
      <c r="P16" s="435">
        <f ca="1">+SUM(P11:P15)</f>
        <v>0.55862886077668827</v>
      </c>
      <c r="Q16" s="7"/>
      <c r="R16" s="343" t="s">
        <v>314</v>
      </c>
      <c r="S16" s="384">
        <f t="shared" ref="S16:X16" ca="1" si="16">+SUM(S11:S15)</f>
        <v>0.63502108772594734</v>
      </c>
      <c r="T16" s="387">
        <f t="shared" si="16"/>
        <v>0.77426447466138937</v>
      </c>
      <c r="U16" s="367">
        <f t="shared" si="16"/>
        <v>0.45000000000000007</v>
      </c>
      <c r="V16" s="368">
        <f t="shared" si="16"/>
        <v>0.55000000000000004</v>
      </c>
      <c r="W16" s="397">
        <f t="shared" ca="1" si="16"/>
        <v>0.55862886077668827</v>
      </c>
      <c r="X16" s="398">
        <f t="shared" si="16"/>
        <v>0.70000000000000007</v>
      </c>
      <c r="Y16" s="7">
        <f t="shared" ca="1" si="10"/>
        <v>679275.00000000012</v>
      </c>
      <c r="Z16" s="7">
        <f t="shared" si="11"/>
        <v>700000</v>
      </c>
      <c r="AA16" s="7">
        <f t="shared" ca="1" si="12"/>
        <v>843250.265342411</v>
      </c>
      <c r="AB16" s="7">
        <f t="shared" si="13"/>
        <v>700000</v>
      </c>
      <c r="AC16" s="337" t="s">
        <v>613</v>
      </c>
      <c r="AD16" s="341" t="s">
        <v>346</v>
      </c>
      <c r="AE16" s="338">
        <v>0.15</v>
      </c>
      <c r="AF16" s="338">
        <v>0.15</v>
      </c>
      <c r="AG16" s="338">
        <v>0.2</v>
      </c>
      <c r="AH16"/>
      <c r="AI16" s="337" t="s">
        <v>386</v>
      </c>
      <c r="AJ16" s="340" t="s">
        <v>342</v>
      </c>
      <c r="AK16" s="338">
        <v>0.1</v>
      </c>
      <c r="AL16" s="338">
        <v>0.15</v>
      </c>
      <c r="AM16" s="338">
        <v>0.15</v>
      </c>
      <c r="AO16" s="337" t="s">
        <v>386</v>
      </c>
      <c r="AP16" s="342"/>
      <c r="AQ16" s="338">
        <v>0.1</v>
      </c>
      <c r="AR16" s="338">
        <v>0.1</v>
      </c>
      <c r="AS16" s="338">
        <v>0.1</v>
      </c>
      <c r="AT16" s="340" t="s">
        <v>323</v>
      </c>
      <c r="AV16" s="337" t="s">
        <v>386</v>
      </c>
      <c r="AW16" s="342"/>
      <c r="AX16" s="338">
        <v>0.1</v>
      </c>
      <c r="AY16" s="338">
        <v>0.2</v>
      </c>
      <c r="AZ16" s="338">
        <v>0.2</v>
      </c>
      <c r="BA16" s="346" t="s">
        <v>323</v>
      </c>
    </row>
    <row r="17" spans="1:53" s="312" customFormat="1" ht="28.5" customHeight="1" thickTop="1" thickBot="1">
      <c r="C17" s="337" t="s">
        <v>613</v>
      </c>
      <c r="D17" s="407">
        <f>+Charts!AB124*85%</f>
        <v>108924.31267724301</v>
      </c>
      <c r="E17" s="415">
        <f>+X17*(E$23)</f>
        <v>149999.99999999997</v>
      </c>
      <c r="F17" s="426">
        <f>+E17-D17</f>
        <v>41075.687322756959</v>
      </c>
      <c r="G17"/>
      <c r="H17" s="337" t="str">
        <f t="shared" si="14"/>
        <v>Developed International</v>
      </c>
      <c r="I17" s="407">
        <f ca="1">+Charts!AC104</f>
        <v>116538.30066575776</v>
      </c>
      <c r="J17" s="415">
        <f ca="1">+W17*(J$23)</f>
        <v>110699.62300982651</v>
      </c>
      <c r="K17" s="419">
        <f ca="1">+J17-I17</f>
        <v>-5838.6776559312566</v>
      </c>
      <c r="L17" s="452"/>
      <c r="M17" s="452">
        <v>0</v>
      </c>
      <c r="N17" s="446">
        <f ca="1">+L17+I17+M17</f>
        <v>116538.30066575776</v>
      </c>
      <c r="O17" s="361">
        <f ca="1">+N17/$N$25</f>
        <v>6.969226798685127E-2</v>
      </c>
      <c r="P17" s="434">
        <f t="shared" ca="1" si="7"/>
        <v>7.7203246549027993E-2</v>
      </c>
      <c r="Q17" s="7"/>
      <c r="R17" s="337" t="str">
        <f t="shared" si="8"/>
        <v>Developed International</v>
      </c>
      <c r="S17" s="338">
        <f ca="1">+I17/$I$25</f>
        <v>7.7203246549027993E-2</v>
      </c>
      <c r="T17" s="333">
        <f>+D17/$D$25</f>
        <v>0.10892431267724302</v>
      </c>
      <c r="U17" s="361">
        <f t="shared" si="15"/>
        <v>0.15</v>
      </c>
      <c r="V17" s="363">
        <v>0.2</v>
      </c>
      <c r="W17" s="395">
        <f ca="1">S17</f>
        <v>7.7203246549027993E-2</v>
      </c>
      <c r="X17" s="396">
        <v>0.15</v>
      </c>
      <c r="Y17" s="7">
        <f t="shared" ca="1" si="10"/>
        <v>226425</v>
      </c>
      <c r="Z17" s="7">
        <f t="shared" si="11"/>
        <v>149999.99999999997</v>
      </c>
      <c r="AA17" s="7">
        <f t="shared" ca="1" si="12"/>
        <v>116538.30066575775</v>
      </c>
      <c r="AB17" s="7">
        <f t="shared" si="13"/>
        <v>149999.99999999997</v>
      </c>
      <c r="AC17" s="332" t="s">
        <v>324</v>
      </c>
      <c r="AD17" s="341" t="s">
        <v>348</v>
      </c>
      <c r="AE17" s="338">
        <v>0</v>
      </c>
      <c r="AF17" s="338">
        <v>0.05</v>
      </c>
      <c r="AG17" s="338">
        <v>0.1</v>
      </c>
      <c r="AH17"/>
      <c r="AI17" s="332" t="s">
        <v>324</v>
      </c>
      <c r="AJ17" s="340" t="s">
        <v>343</v>
      </c>
      <c r="AK17" s="338">
        <v>0.1</v>
      </c>
      <c r="AL17" s="338">
        <v>0.1</v>
      </c>
      <c r="AM17" s="338">
        <v>0.1</v>
      </c>
      <c r="AO17" s="332" t="s">
        <v>324</v>
      </c>
      <c r="AP17" s="342"/>
      <c r="AQ17" s="338">
        <v>0.1</v>
      </c>
      <c r="AR17" s="338">
        <v>0.05</v>
      </c>
      <c r="AS17" s="338">
        <v>0.05</v>
      </c>
      <c r="AT17" s="340" t="s">
        <v>327</v>
      </c>
      <c r="AV17" s="332" t="s">
        <v>324</v>
      </c>
      <c r="AW17" s="342"/>
      <c r="AX17" s="338">
        <v>0.1</v>
      </c>
      <c r="AY17" s="338">
        <v>0.1</v>
      </c>
      <c r="AZ17" s="338">
        <v>0.15</v>
      </c>
      <c r="BA17" s="346" t="s">
        <v>327</v>
      </c>
    </row>
    <row r="18" spans="1:53" s="312" customFormat="1" ht="28.5" customHeight="1" thickTop="1" thickBot="1">
      <c r="C18" s="337" t="s">
        <v>324</v>
      </c>
      <c r="D18" s="407">
        <f>+Charts!AB124*15%</f>
        <v>19221.937531278178</v>
      </c>
      <c r="E18" s="415">
        <f>+X18*(E$23)</f>
        <v>50000</v>
      </c>
      <c r="F18" s="426">
        <f>+E18-D18</f>
        <v>30778.062468721822</v>
      </c>
      <c r="G18"/>
      <c r="H18" s="337" t="str">
        <f t="shared" si="14"/>
        <v>Emerging Markets</v>
      </c>
      <c r="I18" s="407">
        <v>0</v>
      </c>
      <c r="J18" s="415">
        <f ca="1">+W18*(J$23)</f>
        <v>0</v>
      </c>
      <c r="K18" s="419">
        <f ca="1">+J18-I18</f>
        <v>0</v>
      </c>
      <c r="L18" s="452"/>
      <c r="M18" s="452"/>
      <c r="N18" s="446">
        <f>+L18+I18+M18</f>
        <v>0</v>
      </c>
      <c r="O18" s="361">
        <f ca="1">+N18/$N$25</f>
        <v>0</v>
      </c>
      <c r="P18" s="434">
        <f t="shared" si="7"/>
        <v>0</v>
      </c>
      <c r="Q18" s="7"/>
      <c r="R18" s="332" t="str">
        <f t="shared" si="8"/>
        <v>Emerging Markets</v>
      </c>
      <c r="S18" s="338">
        <f ca="1">+I18/$I$25</f>
        <v>0</v>
      </c>
      <c r="T18" s="333">
        <f>+D18/$D$25</f>
        <v>1.9221937531278179E-2</v>
      </c>
      <c r="U18" s="361">
        <f t="shared" si="15"/>
        <v>0.05</v>
      </c>
      <c r="V18" s="363">
        <v>0.1</v>
      </c>
      <c r="W18" s="395">
        <v>0</v>
      </c>
      <c r="X18" s="396">
        <v>0.05</v>
      </c>
      <c r="Y18" s="7">
        <f t="shared" ca="1" si="10"/>
        <v>75475</v>
      </c>
      <c r="Z18" s="7">
        <f t="shared" si="11"/>
        <v>50000</v>
      </c>
      <c r="AA18" s="7">
        <f t="shared" ca="1" si="12"/>
        <v>0</v>
      </c>
      <c r="AB18" s="7">
        <f t="shared" si="13"/>
        <v>50000</v>
      </c>
      <c r="AC18" s="343" t="s">
        <v>331</v>
      </c>
      <c r="AD18" s="385"/>
      <c r="AE18" s="384">
        <f>+SUM(AE16:AE17)</f>
        <v>0.15</v>
      </c>
      <c r="AF18" s="384">
        <f>+SUM(AF16:AF17)</f>
        <v>0.2</v>
      </c>
      <c r="AG18" s="384">
        <f>+SUM(AG16:AG17)</f>
        <v>0.30000000000000004</v>
      </c>
      <c r="AH18"/>
      <c r="AI18" s="459" t="s">
        <v>331</v>
      </c>
      <c r="AJ18" s="469"/>
      <c r="AK18" s="470">
        <f>+SUM(AK16:AK17)</f>
        <v>0.2</v>
      </c>
      <c r="AL18" s="470">
        <f>+SUM(AL16:AL17)</f>
        <v>0.25</v>
      </c>
      <c r="AM18" s="470">
        <f>+SUM(AM16:AM17)</f>
        <v>0.25</v>
      </c>
      <c r="AO18" s="343" t="s">
        <v>331</v>
      </c>
      <c r="AP18" s="345"/>
      <c r="AQ18" s="344">
        <f>+SUM(AQ16:AQ17)</f>
        <v>0.2</v>
      </c>
      <c r="AR18" s="344">
        <f>+SUM(AR16:AR17)</f>
        <v>0.15000000000000002</v>
      </c>
      <c r="AS18" s="344">
        <f>+SUM(AS16:AS17)</f>
        <v>0.15000000000000002</v>
      </c>
      <c r="AT18" s="345"/>
      <c r="AV18" s="343" t="s">
        <v>330</v>
      </c>
      <c r="AW18" s="345"/>
      <c r="AX18" s="344">
        <f>+SUM(AX16:AX17)</f>
        <v>0.2</v>
      </c>
      <c r="AY18" s="344">
        <f>+SUM(AY16:AY17)</f>
        <v>0.30000000000000004</v>
      </c>
      <c r="AZ18" s="344">
        <f>+SUM(AZ16:AZ17)</f>
        <v>0.35</v>
      </c>
      <c r="BA18" s="345"/>
    </row>
    <row r="19" spans="1:53" s="312" customFormat="1" ht="28.5" customHeight="1" thickBot="1">
      <c r="C19" s="386" t="s">
        <v>331</v>
      </c>
      <c r="D19" s="443">
        <f>SUM(D17:D18)</f>
        <v>128146.25020852119</v>
      </c>
      <c r="E19" s="412">
        <f>+SUM(E17:E18)</f>
        <v>199999.99999999997</v>
      </c>
      <c r="F19" s="428">
        <f>+SUM(F17:F18)</f>
        <v>71853.749791478782</v>
      </c>
      <c r="G19"/>
      <c r="H19" s="386" t="s">
        <v>331</v>
      </c>
      <c r="I19" s="443">
        <f ca="1">SUM(I17:I18)</f>
        <v>116538.30066575776</v>
      </c>
      <c r="J19" s="412">
        <f ca="1">+SUM(J17:J18)</f>
        <v>110699.62300982651</v>
      </c>
      <c r="K19" s="420">
        <f ca="1">+SUM(K17:K18)</f>
        <v>-5838.6776559312566</v>
      </c>
      <c r="L19" s="453">
        <f>+SUM(L17:L18)</f>
        <v>0</v>
      </c>
      <c r="M19" s="453"/>
      <c r="N19" s="447">
        <f ca="1">+SUM(N17:N18)</f>
        <v>116538.30066575776</v>
      </c>
      <c r="O19" s="431">
        <f ca="1">+SUM(O17:O18)</f>
        <v>6.969226798685127E-2</v>
      </c>
      <c r="P19" s="435">
        <f ca="1">+SUM(P17:P18)</f>
        <v>7.7203246549027993E-2</v>
      </c>
      <c r="Q19" s="7"/>
      <c r="R19" s="343" t="s">
        <v>331</v>
      </c>
      <c r="S19" s="384">
        <f t="shared" ref="S19:X19" ca="1" si="17">+SUM(S17:S18)</f>
        <v>7.7203246549027993E-2</v>
      </c>
      <c r="T19" s="387">
        <f t="shared" si="17"/>
        <v>0.12814625020852119</v>
      </c>
      <c r="U19" s="367">
        <f t="shared" si="17"/>
        <v>0.2</v>
      </c>
      <c r="V19" s="368">
        <f t="shared" si="17"/>
        <v>0.30000000000000004</v>
      </c>
      <c r="W19" s="397">
        <f t="shared" ca="1" si="17"/>
        <v>7.7203246549027993E-2</v>
      </c>
      <c r="X19" s="398">
        <f t="shared" si="17"/>
        <v>0.2</v>
      </c>
      <c r="Y19" s="7">
        <f t="shared" ca="1" si="10"/>
        <v>301900</v>
      </c>
      <c r="Z19" s="7">
        <f t="shared" si="11"/>
        <v>200000</v>
      </c>
      <c r="AA19" s="7">
        <f t="shared" ca="1" si="12"/>
        <v>116538.30066575775</v>
      </c>
      <c r="AB19" s="7">
        <f t="shared" si="13"/>
        <v>200000</v>
      </c>
      <c r="AC19" s="369" t="s">
        <v>313</v>
      </c>
      <c r="AD19" s="375" t="s">
        <v>349</v>
      </c>
      <c r="AE19" s="388">
        <v>0</v>
      </c>
      <c r="AF19" s="388">
        <v>0.05</v>
      </c>
      <c r="AG19" s="389">
        <v>0.1</v>
      </c>
      <c r="AH19"/>
      <c r="AI19" s="460" t="s">
        <v>313</v>
      </c>
      <c r="AJ19" s="461" t="s">
        <v>344</v>
      </c>
      <c r="AK19" s="462">
        <v>0.1</v>
      </c>
      <c r="AL19" s="462">
        <v>0.05</v>
      </c>
      <c r="AM19" s="462">
        <v>0.05</v>
      </c>
      <c r="AO19" s="347" t="s">
        <v>313</v>
      </c>
      <c r="AP19" s="349"/>
      <c r="AQ19" s="316">
        <v>0.1</v>
      </c>
      <c r="AR19" s="316">
        <v>0.05</v>
      </c>
      <c r="AS19" s="316">
        <v>0.05</v>
      </c>
      <c r="AT19" s="348"/>
      <c r="AV19" s="347" t="s">
        <v>313</v>
      </c>
      <c r="AW19" s="349"/>
      <c r="AX19" s="316">
        <v>0.1</v>
      </c>
      <c r="AY19" s="316">
        <v>0.05</v>
      </c>
      <c r="AZ19" s="316">
        <v>0.05</v>
      </c>
      <c r="BA19" s="348"/>
    </row>
    <row r="20" spans="1:53" s="312" customFormat="1" ht="28.5" customHeight="1" thickTop="1" thickBot="1">
      <c r="C20" s="369" t="s">
        <v>313</v>
      </c>
      <c r="D20" s="380">
        <v>0</v>
      </c>
      <c r="E20" s="413">
        <f>+X20*(E$23)</f>
        <v>100000</v>
      </c>
      <c r="F20" s="427">
        <f>+E20-D20</f>
        <v>100000</v>
      </c>
      <c r="G20"/>
      <c r="H20" s="337" t="str">
        <f t="shared" si="14"/>
        <v>REITS, Commodities</v>
      </c>
      <c r="I20" s="380">
        <v>0</v>
      </c>
      <c r="J20" s="413">
        <f ca="1">+W20*(J$23)</f>
        <v>0</v>
      </c>
      <c r="K20" s="421">
        <f ca="1">+J20-I20</f>
        <v>0</v>
      </c>
      <c r="L20" s="454"/>
      <c r="M20" s="454"/>
      <c r="N20" s="448">
        <f>+L20+I20+M20</f>
        <v>0</v>
      </c>
      <c r="O20" s="361">
        <f ca="1">+N20/$N$25</f>
        <v>0</v>
      </c>
      <c r="P20" s="434">
        <f t="shared" si="7"/>
        <v>0</v>
      </c>
      <c r="Q20" s="7"/>
      <c r="R20" s="369" t="str">
        <f t="shared" si="8"/>
        <v>REITS, Commodities</v>
      </c>
      <c r="S20" s="338">
        <f ca="1">+I20/$I$25</f>
        <v>0</v>
      </c>
      <c r="T20" s="333">
        <f>+D20/$D$25</f>
        <v>0</v>
      </c>
      <c r="U20" s="361">
        <f t="shared" si="15"/>
        <v>0.05</v>
      </c>
      <c r="V20" s="365">
        <v>0.1</v>
      </c>
      <c r="W20" s="399">
        <v>0</v>
      </c>
      <c r="X20" s="400">
        <f>+V20</f>
        <v>0.1</v>
      </c>
      <c r="Y20" s="7">
        <f t="shared" ca="1" si="10"/>
        <v>75475</v>
      </c>
      <c r="Z20" s="7">
        <f t="shared" si="11"/>
        <v>100000</v>
      </c>
      <c r="AA20" s="7">
        <f t="shared" ca="1" si="12"/>
        <v>0</v>
      </c>
      <c r="AB20" s="7">
        <f t="shared" si="13"/>
        <v>100000</v>
      </c>
      <c r="AC20" s="369" t="s">
        <v>310</v>
      </c>
      <c r="AD20" s="390" t="s">
        <v>347</v>
      </c>
      <c r="AE20" s="391">
        <v>0.5</v>
      </c>
      <c r="AF20" s="391">
        <v>0.3</v>
      </c>
      <c r="AG20" s="392">
        <v>0</v>
      </c>
      <c r="AH20"/>
      <c r="AI20" s="463" t="s">
        <v>310</v>
      </c>
      <c r="AJ20" s="464" t="s">
        <v>681</v>
      </c>
      <c r="AK20" s="388">
        <v>0.2</v>
      </c>
      <c r="AL20" s="388">
        <v>0.05</v>
      </c>
      <c r="AM20" s="388">
        <v>0</v>
      </c>
      <c r="AO20" s="350" t="s">
        <v>310</v>
      </c>
      <c r="AP20" s="315"/>
      <c r="AQ20" s="317">
        <v>0.2</v>
      </c>
      <c r="AR20" s="317">
        <v>0.05</v>
      </c>
      <c r="AS20" s="317">
        <v>0</v>
      </c>
      <c r="AT20" s="313"/>
      <c r="AV20" s="350" t="s">
        <v>310</v>
      </c>
      <c r="AW20" s="315"/>
      <c r="AX20" s="317">
        <v>0.2</v>
      </c>
      <c r="AY20" s="317">
        <v>0.05</v>
      </c>
      <c r="AZ20" s="317">
        <v>0</v>
      </c>
      <c r="BA20" s="313"/>
    </row>
    <row r="21" spans="1:53" s="312" customFormat="1" ht="28.5" customHeight="1" thickTop="1" thickBot="1">
      <c r="C21" s="369" t="s">
        <v>310</v>
      </c>
      <c r="D21" s="380">
        <f>+Charts!AB129</f>
        <v>61209.775501417389</v>
      </c>
      <c r="E21" s="413">
        <f>+X21*(E$23)</f>
        <v>0</v>
      </c>
      <c r="F21" s="427">
        <f>+E21-D21</f>
        <v>-61209.775501417389</v>
      </c>
      <c r="G21"/>
      <c r="H21" s="337" t="str">
        <f t="shared" si="14"/>
        <v>Bonds</v>
      </c>
      <c r="I21" s="380">
        <v>0</v>
      </c>
      <c r="J21" s="413">
        <f ca="1">+W21*(J$23)</f>
        <v>286774.52816579834</v>
      </c>
      <c r="K21" s="421">
        <f ca="1">+J21-I21</f>
        <v>286774.52816579834</v>
      </c>
      <c r="L21" s="454">
        <f ca="1">+-L10-L13</f>
        <v>86585.933420093555</v>
      </c>
      <c r="M21" s="454">
        <f ca="1">+M23-M13</f>
        <v>82684.074820823036</v>
      </c>
      <c r="N21" s="448">
        <f ca="1">+L21+I21+M21</f>
        <v>169270.00824091659</v>
      </c>
      <c r="O21" s="361">
        <f ca="1">+N21/$N$25</f>
        <v>0.10122689887418891</v>
      </c>
      <c r="P21" s="434">
        <f t="shared" si="7"/>
        <v>0.2</v>
      </c>
      <c r="Q21" s="7"/>
      <c r="R21" s="369" t="str">
        <f t="shared" si="8"/>
        <v>Bonds</v>
      </c>
      <c r="S21" s="338">
        <f ca="1">+I21/$I$25</f>
        <v>0</v>
      </c>
      <c r="T21" s="333">
        <f>+D21/$D$25</f>
        <v>6.1209775501417395E-2</v>
      </c>
      <c r="U21" s="361">
        <f t="shared" si="15"/>
        <v>0.3</v>
      </c>
      <c r="V21" s="366">
        <v>0</v>
      </c>
      <c r="W21" s="399">
        <v>0.2</v>
      </c>
      <c r="X21" s="400">
        <f>+V21</f>
        <v>0</v>
      </c>
      <c r="Y21" s="7">
        <f t="shared" ca="1" si="10"/>
        <v>452850</v>
      </c>
      <c r="Z21" s="7">
        <f t="shared" si="11"/>
        <v>0</v>
      </c>
      <c r="AA21" s="7">
        <f t="shared" ca="1" si="12"/>
        <v>301900</v>
      </c>
      <c r="AB21" s="7">
        <f t="shared" si="13"/>
        <v>0</v>
      </c>
      <c r="AC21" s="370" t="s">
        <v>151</v>
      </c>
      <c r="AD21" s="393" t="s">
        <v>365</v>
      </c>
      <c r="AE21" s="388">
        <v>0</v>
      </c>
      <c r="AF21" s="388">
        <v>0.05</v>
      </c>
      <c r="AG21" s="389">
        <v>0.05</v>
      </c>
      <c r="AH21"/>
      <c r="AI21" s="463" t="s">
        <v>151</v>
      </c>
      <c r="AJ21" s="464" t="s">
        <v>345</v>
      </c>
      <c r="AK21" s="388">
        <v>0</v>
      </c>
      <c r="AL21" s="388">
        <v>0.05</v>
      </c>
      <c r="AM21" s="388">
        <v>0.05</v>
      </c>
      <c r="AO21" s="351" t="s">
        <v>151</v>
      </c>
      <c r="AP21" s="322" t="s">
        <v>329</v>
      </c>
      <c r="AQ21" s="318">
        <v>0</v>
      </c>
      <c r="AR21" s="318">
        <v>0.05</v>
      </c>
      <c r="AS21" s="318">
        <v>0.05</v>
      </c>
      <c r="AT21" s="314"/>
      <c r="AV21" s="351" t="s">
        <v>328</v>
      </c>
      <c r="AW21" s="322" t="s">
        <v>329</v>
      </c>
      <c r="AX21" s="318">
        <v>0</v>
      </c>
      <c r="AY21" s="318">
        <v>0.05</v>
      </c>
      <c r="AZ21" s="318">
        <v>0.05</v>
      </c>
      <c r="BA21" s="314"/>
    </row>
    <row r="22" spans="1:53" ht="28.5" customHeight="1" thickTop="1" thickBot="1">
      <c r="C22" s="369" t="s">
        <v>151</v>
      </c>
      <c r="D22" s="380">
        <v>0</v>
      </c>
      <c r="E22" s="413">
        <f>+X22*(E$23)</f>
        <v>0</v>
      </c>
      <c r="F22" s="427">
        <f>+E22-D22</f>
        <v>0</v>
      </c>
      <c r="H22" s="337" t="str">
        <f t="shared" si="14"/>
        <v>Crypto</v>
      </c>
      <c r="I22" s="380">
        <f ca="1">+Charts!AC111</f>
        <v>9500</v>
      </c>
      <c r="J22" s="413">
        <f ca="1">+W22*(J$23)</f>
        <v>9024.0411314179673</v>
      </c>
      <c r="K22" s="419">
        <f ca="1">+J22-I22</f>
        <v>-475.95886858203266</v>
      </c>
      <c r="L22" s="454"/>
      <c r="M22" s="454"/>
      <c r="N22" s="448">
        <f ca="1">+L22+I22+M22</f>
        <v>9500</v>
      </c>
      <c r="O22" s="361">
        <f ca="1">+N22/$N$25</f>
        <v>5.6811927245617013E-3</v>
      </c>
      <c r="P22" s="434">
        <f t="shared" ca="1" si="7"/>
        <v>6.2934746604836039E-3</v>
      </c>
      <c r="Q22" s="7"/>
      <c r="R22" s="370" t="str">
        <f t="shared" si="8"/>
        <v>Crypto</v>
      </c>
      <c r="S22" s="338">
        <f ca="1">+I22/$I$25</f>
        <v>6.2934746604836039E-3</v>
      </c>
      <c r="T22" s="333">
        <f>+D22/$D$25</f>
        <v>0</v>
      </c>
      <c r="U22" s="361">
        <v>0</v>
      </c>
      <c r="V22" s="365">
        <v>0.05</v>
      </c>
      <c r="W22" s="399">
        <f ca="1">S22</f>
        <v>6.2934746604836039E-3</v>
      </c>
      <c r="X22" s="400">
        <v>0</v>
      </c>
      <c r="Y22" s="7">
        <f t="shared" ca="1" si="10"/>
        <v>0</v>
      </c>
      <c r="Z22" s="7">
        <f t="shared" si="11"/>
        <v>0</v>
      </c>
      <c r="AA22" s="7">
        <f t="shared" ca="1" si="12"/>
        <v>9500</v>
      </c>
      <c r="AB22" s="7">
        <f t="shared" si="13"/>
        <v>0</v>
      </c>
      <c r="AC22" s="352" t="s">
        <v>31</v>
      </c>
      <c r="AD22" s="324"/>
      <c r="AE22" s="320">
        <f>+AE15+AE18+AE19+AE20+AE21-AE21</f>
        <v>1</v>
      </c>
      <c r="AF22" s="320">
        <f>+AF15+AF18+AF19+AF20+AF21-AF21</f>
        <v>1.0000000000000002</v>
      </c>
      <c r="AG22" s="320">
        <f>AG21+AG15+AG18+AG19+AG20-AG21</f>
        <v>1</v>
      </c>
      <c r="AI22" s="465" t="s">
        <v>31</v>
      </c>
      <c r="AJ22" s="466"/>
      <c r="AK22" s="467">
        <f>+AK15+AK18+AK19+AK20+AK21-AK21</f>
        <v>1</v>
      </c>
      <c r="AL22" s="467">
        <f>+AL15+AL18+AL19+AL20+AL21-AL21</f>
        <v>1</v>
      </c>
      <c r="AM22" s="467">
        <f>+AM15+AM18+AM19+AM20+AM21-AM21</f>
        <v>1</v>
      </c>
      <c r="AO22" s="352" t="s">
        <v>31</v>
      </c>
      <c r="AP22" s="319"/>
      <c r="AQ22" s="320">
        <f>+AQ15+AQ18+AQ19+AQ20+AQ21-AQ21</f>
        <v>1</v>
      </c>
      <c r="AR22" s="320">
        <f>+AR15+AR18+AR19+AR20+AR21-AR21</f>
        <v>1</v>
      </c>
      <c r="AS22" s="320">
        <f>+AS15+AS18+AS19+AS20+AS21-AS21</f>
        <v>1</v>
      </c>
      <c r="AT22" s="321"/>
      <c r="AV22" s="352" t="s">
        <v>31</v>
      </c>
      <c r="AW22" s="319"/>
      <c r="AX22" s="320">
        <f>+AX15+AX18+AX19+AX20+AX21-AX21</f>
        <v>1</v>
      </c>
      <c r="AY22" s="320">
        <f>+AY15+AY18+AY19+AY20+AY21-AY21</f>
        <v>1</v>
      </c>
      <c r="AZ22" s="320">
        <f>+AZ15+AZ18+AZ19+AZ20+AZ21-AZ21</f>
        <v>1</v>
      </c>
      <c r="BA22" s="321"/>
    </row>
    <row r="23" spans="1:53" customFormat="1" ht="28.5" customHeight="1" thickBot="1">
      <c r="A23" s="311"/>
      <c r="B23" s="311"/>
      <c r="C23" s="352" t="s">
        <v>31</v>
      </c>
      <c r="D23" s="411">
        <f>+D16+D19+D20+D21+D22+D10</f>
        <v>999999.99999999988</v>
      </c>
      <c r="E23" s="430">
        <f>+E25-E24</f>
        <v>999999.99999999988</v>
      </c>
      <c r="F23" s="429"/>
      <c r="H23" s="352" t="s">
        <v>31</v>
      </c>
      <c r="I23" s="411">
        <f ca="1">+I16+I19+I20+I21+I22+I10</f>
        <v>1271188.5660081687</v>
      </c>
      <c r="J23" s="430">
        <f ca="1">+J25-J24</f>
        <v>1433872.6408289918</v>
      </c>
      <c r="K23" s="382"/>
      <c r="L23" s="453">
        <f ca="1">+L16+L19+L20+L21+L22+L10</f>
        <v>0</v>
      </c>
      <c r="M23" s="453">
        <f ca="1">I5+I6</f>
        <v>162684.07482082304</v>
      </c>
      <c r="N23" s="458">
        <f ca="1">+N16+N19+N20+N21+N22+N10</f>
        <v>1433872.6408289918</v>
      </c>
      <c r="O23" s="432">
        <f ca="1">+O16+O19+O20+O21+O22+O10</f>
        <v>0.85748492789744657</v>
      </c>
      <c r="P23" s="436">
        <f ca="1">+P16+P19+P20+P21+P22+P10</f>
        <v>0.8421255819861998</v>
      </c>
      <c r="Q23" s="7"/>
      <c r="R23" s="352" t="s">
        <v>382</v>
      </c>
      <c r="S23" s="320">
        <f t="shared" ref="S23:X23" ca="1" si="18">+S16+S19+S20+S21+S22+S10</f>
        <v>0.84212558198619991</v>
      </c>
      <c r="T23" s="320">
        <f t="shared" si="18"/>
        <v>1</v>
      </c>
      <c r="U23" s="320">
        <f t="shared" si="18"/>
        <v>1.0000000000000002</v>
      </c>
      <c r="V23" s="320">
        <f t="shared" si="18"/>
        <v>1</v>
      </c>
      <c r="W23" s="401">
        <f t="shared" ca="1" si="18"/>
        <v>0.8421255819861998</v>
      </c>
      <c r="X23" s="402">
        <f t="shared" si="18"/>
        <v>1.0000000000000002</v>
      </c>
      <c r="Y23" s="7">
        <f t="shared" ca="1" si="10"/>
        <v>1509500.0000000002</v>
      </c>
      <c r="Z23" s="7">
        <f t="shared" si="11"/>
        <v>1000000.0000000001</v>
      </c>
      <c r="AA23" s="7">
        <f t="shared" ca="1" si="12"/>
        <v>1271188.5660081685</v>
      </c>
      <c r="AB23" s="7">
        <f t="shared" si="13"/>
        <v>1000000.0000000001</v>
      </c>
    </row>
    <row r="24" spans="1:53" customFormat="1" ht="28.5" customHeight="1" thickTop="1" thickBot="1">
      <c r="A24" s="311"/>
      <c r="B24" s="311"/>
      <c r="C24" s="369" t="s">
        <v>372</v>
      </c>
      <c r="D24" s="380">
        <f>+Charts!AB128</f>
        <v>0</v>
      </c>
      <c r="E24" s="413">
        <f>+D24</f>
        <v>0</v>
      </c>
      <c r="F24" s="425">
        <f>+E24-D24</f>
        <v>0</v>
      </c>
      <c r="H24" s="337" t="str">
        <f t="shared" si="14"/>
        <v>Other single stock holdings</v>
      </c>
      <c r="I24" s="380">
        <f ca="1">+Charts!AC110+Charts!AC109</f>
        <v>238311.4339918312</v>
      </c>
      <c r="J24" s="413">
        <f ca="1">+I24</f>
        <v>238311.4339918312</v>
      </c>
      <c r="K24" s="419">
        <f ca="1">+J24-I24</f>
        <v>0</v>
      </c>
      <c r="L24" s="455"/>
      <c r="M24" s="455"/>
      <c r="N24" s="448">
        <f ca="1">+L24+I24+M24</f>
        <v>238311.4339918312</v>
      </c>
      <c r="O24" s="361">
        <f ca="1">+N24/$N$25</f>
        <v>0.14251507210255343</v>
      </c>
      <c r="P24" s="434">
        <f t="shared" ca="1" si="7"/>
        <v>0.15787441801380006</v>
      </c>
      <c r="Q24" s="7"/>
      <c r="R24" s="370" t="str">
        <f t="shared" si="8"/>
        <v>Other single stock holdings</v>
      </c>
      <c r="S24" s="338">
        <f ca="1">+I24/$I$25</f>
        <v>0.15787441801380006</v>
      </c>
      <c r="T24" s="333">
        <f>+D24/$D$25</f>
        <v>0</v>
      </c>
      <c r="U24" s="364">
        <v>0</v>
      </c>
      <c r="V24" s="365">
        <v>0</v>
      </c>
      <c r="W24" s="399">
        <f ca="1">S24</f>
        <v>0.15787441801380006</v>
      </c>
      <c r="X24" s="400">
        <v>0</v>
      </c>
      <c r="Y24" s="7">
        <f t="shared" ca="1" si="10"/>
        <v>0</v>
      </c>
      <c r="Z24" s="7">
        <f t="shared" si="11"/>
        <v>0</v>
      </c>
      <c r="AA24" s="7">
        <f t="shared" ca="1" si="12"/>
        <v>238311.4339918312</v>
      </c>
      <c r="AB24" s="7">
        <f t="shared" si="13"/>
        <v>0</v>
      </c>
    </row>
    <row r="25" spans="1:53" customFormat="1" ht="28.5" customHeight="1" thickBot="1">
      <c r="A25" s="311"/>
      <c r="B25" s="311"/>
      <c r="C25" s="416" t="s">
        <v>31</v>
      </c>
      <c r="D25" s="378">
        <f>+D24+D23</f>
        <v>999999.99999999988</v>
      </c>
      <c r="E25" s="417">
        <f>+D25+D6+D7</f>
        <v>999999.99999999988</v>
      </c>
      <c r="F25" s="378"/>
      <c r="H25" s="416" t="s">
        <v>31</v>
      </c>
      <c r="I25" s="378">
        <f ca="1">+I24+I23</f>
        <v>1509500</v>
      </c>
      <c r="J25" s="417">
        <f ca="1">+I25+I5+I6</f>
        <v>1672184.074820823</v>
      </c>
      <c r="K25" s="422"/>
      <c r="L25" s="456"/>
      <c r="M25" s="456"/>
      <c r="N25" s="449">
        <f ca="1">+N24+N23</f>
        <v>1672184.074820823</v>
      </c>
      <c r="O25" s="378"/>
      <c r="P25" s="437">
        <f t="shared" ca="1" si="7"/>
        <v>0.99999999999999989</v>
      </c>
      <c r="Q25" s="7"/>
      <c r="R25" s="352" t="s">
        <v>31</v>
      </c>
      <c r="S25" s="320">
        <f t="shared" ref="S25:X25" ca="1" si="19">+S23+S24</f>
        <v>1</v>
      </c>
      <c r="T25" s="320">
        <f t="shared" si="19"/>
        <v>1</v>
      </c>
      <c r="U25" s="320">
        <f t="shared" si="19"/>
        <v>1.0000000000000002</v>
      </c>
      <c r="V25" s="320">
        <f t="shared" si="19"/>
        <v>1</v>
      </c>
      <c r="W25" s="403">
        <f t="shared" ca="1" si="19"/>
        <v>0.99999999999999989</v>
      </c>
      <c r="X25" s="404">
        <f t="shared" si="19"/>
        <v>1.0000000000000002</v>
      </c>
      <c r="Y25" s="7">
        <f ca="1">+Y24+Y23</f>
        <v>1509500.0000000002</v>
      </c>
      <c r="Z25" s="7">
        <f>+Z24+Z23</f>
        <v>1000000.0000000001</v>
      </c>
      <c r="AA25" s="7">
        <f t="shared" ref="AA25:AB25" ca="1" si="20">+AA24+AA23</f>
        <v>1509499.9999999998</v>
      </c>
      <c r="AB25" s="7">
        <f t="shared" si="20"/>
        <v>1000000.0000000001</v>
      </c>
    </row>
    <row r="26" spans="1:53">
      <c r="D26"/>
      <c r="F26" s="423"/>
      <c r="I26" s="379">
        <f ca="1">+I25+D25</f>
        <v>2509500</v>
      </c>
      <c r="L26" s="450"/>
      <c r="M26" s="450"/>
      <c r="N26" s="891">
        <f ca="1">+N25/I25-1</f>
        <v>0.10777348447884938</v>
      </c>
    </row>
    <row r="27" spans="1:53">
      <c r="D27"/>
      <c r="I27" s="418" t="b">
        <f ca="1">+I26=OPTIMIZER!E27</f>
        <v>1</v>
      </c>
    </row>
    <row r="29" spans="1:53" ht="16.5" thickBot="1"/>
    <row r="30" spans="1:53" ht="31.5" customHeight="1" thickBot="1">
      <c r="H30" s="460" t="s">
        <v>318</v>
      </c>
      <c r="I30" s="471" t="s">
        <v>338</v>
      </c>
      <c r="J30" s="472"/>
      <c r="K30" s="472"/>
      <c r="L30" s="472"/>
      <c r="M30" s="472"/>
      <c r="N30" s="472"/>
      <c r="O30" s="473"/>
    </row>
    <row r="31" spans="1:53" ht="31.5" customHeight="1" thickBot="1">
      <c r="H31" s="460" t="s">
        <v>319</v>
      </c>
      <c r="I31" s="474" t="s">
        <v>337</v>
      </c>
      <c r="J31" s="475"/>
      <c r="K31" s="475"/>
      <c r="L31" s="475"/>
      <c r="M31" s="475"/>
      <c r="N31" s="475"/>
      <c r="O31" s="476"/>
    </row>
    <row r="32" spans="1:53" ht="31.5" customHeight="1" thickBot="1">
      <c r="H32" s="460" t="s">
        <v>317</v>
      </c>
      <c r="I32" s="474" t="s">
        <v>341</v>
      </c>
      <c r="J32" s="475"/>
      <c r="K32" s="475"/>
      <c r="L32" s="475"/>
      <c r="M32" s="475"/>
      <c r="N32" s="475"/>
      <c r="O32" s="476"/>
    </row>
    <row r="33" spans="8:15" ht="31.5" customHeight="1" thickBot="1">
      <c r="H33" s="460" t="s">
        <v>322</v>
      </c>
      <c r="I33" s="474" t="s">
        <v>340</v>
      </c>
      <c r="J33" s="475"/>
      <c r="K33" s="475"/>
      <c r="L33" s="475"/>
      <c r="M33" s="475"/>
      <c r="N33" s="475"/>
      <c r="O33" s="476"/>
    </row>
    <row r="34" spans="8:15" ht="31.5" customHeight="1" thickBot="1">
      <c r="H34" s="460" t="s">
        <v>326</v>
      </c>
      <c r="I34" s="474" t="s">
        <v>339</v>
      </c>
      <c r="J34" s="475"/>
      <c r="K34" s="475"/>
      <c r="L34" s="475"/>
      <c r="M34" s="475"/>
      <c r="N34" s="475"/>
      <c r="O34" s="476"/>
    </row>
    <row r="35" spans="8:15" ht="31.5" customHeight="1" thickBot="1">
      <c r="H35" s="460" t="s">
        <v>386</v>
      </c>
      <c r="I35" s="474" t="s">
        <v>342</v>
      </c>
      <c r="J35" s="475"/>
      <c r="K35" s="475"/>
      <c r="L35" s="475"/>
      <c r="M35" s="475"/>
      <c r="N35" s="475"/>
      <c r="O35" s="476"/>
    </row>
    <row r="36" spans="8:15" ht="31.5" customHeight="1" thickBot="1">
      <c r="H36" s="460" t="s">
        <v>324</v>
      </c>
      <c r="I36" s="474" t="s">
        <v>343</v>
      </c>
      <c r="J36" s="475"/>
      <c r="K36" s="475"/>
      <c r="L36" s="475"/>
      <c r="M36" s="475"/>
      <c r="N36" s="475"/>
      <c r="O36" s="476"/>
    </row>
    <row r="37" spans="8:15" ht="31.5" customHeight="1" thickBot="1">
      <c r="H37" s="460" t="s">
        <v>313</v>
      </c>
      <c r="I37" s="477" t="s">
        <v>344</v>
      </c>
      <c r="J37" s="478"/>
      <c r="K37" s="478"/>
      <c r="L37" s="478"/>
      <c r="M37" s="478"/>
      <c r="N37" s="478"/>
      <c r="O37" s="479"/>
    </row>
    <row r="38" spans="8:15" ht="31.5" customHeight="1" thickBot="1">
      <c r="H38" s="463" t="s">
        <v>310</v>
      </c>
      <c r="I38" s="480" t="s">
        <v>336</v>
      </c>
      <c r="J38" s="481"/>
      <c r="K38" s="481"/>
      <c r="L38" s="481"/>
      <c r="M38" s="481"/>
      <c r="N38" s="481"/>
      <c r="O38" s="482"/>
    </row>
    <row r="39" spans="8:15" ht="31.5" customHeight="1" thickBot="1">
      <c r="H39" s="463" t="s">
        <v>151</v>
      </c>
      <c r="I39" s="480" t="s">
        <v>345</v>
      </c>
      <c r="J39" s="481"/>
      <c r="K39" s="481"/>
      <c r="L39" s="481"/>
      <c r="M39" s="481"/>
      <c r="N39" s="481"/>
      <c r="O39" s="482"/>
    </row>
  </sheetData>
  <pageMargins left="0.7" right="0.7" top="0.75" bottom="0.75" header="0.3" footer="0.3"/>
  <pageSetup orientation="portrait" r:id="rId1"/>
  <ignoredErrors>
    <ignoredError sqref="W16:X16"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6811-09E8-4E66-B4F1-C1FECB085AA6}">
  <dimension ref="A1:J60"/>
  <sheetViews>
    <sheetView showGridLines="0" topLeftCell="A29" zoomScaleNormal="100" workbookViewId="0">
      <selection activeCell="J1" sqref="J1"/>
    </sheetView>
  </sheetViews>
  <sheetFormatPr defaultRowHeight="14.5"/>
  <cols>
    <col min="1" max="1" width="10.7265625" bestFit="1" customWidth="1"/>
    <col min="2" max="9" width="20.54296875" customWidth="1"/>
    <col min="10" max="10" width="10.81640625" customWidth="1"/>
  </cols>
  <sheetData>
    <row r="1" spans="1:10">
      <c r="B1">
        <f>+'Cash Flow'!BE119</f>
        <v>2025</v>
      </c>
      <c r="C1">
        <f>+'Cash Flow'!BJ119</f>
        <v>2030</v>
      </c>
      <c r="D1">
        <f>+'Cash Flow'!BO119</f>
        <v>2035</v>
      </c>
      <c r="E1">
        <f>+'Cash Flow'!BP119</f>
        <v>2040</v>
      </c>
      <c r="G1">
        <f>+B1</f>
        <v>2025</v>
      </c>
      <c r="H1">
        <f t="shared" ref="H1:J1" si="0">+C1</f>
        <v>2030</v>
      </c>
      <c r="I1">
        <f t="shared" si="0"/>
        <v>2035</v>
      </c>
      <c r="J1">
        <f t="shared" si="0"/>
        <v>2040</v>
      </c>
    </row>
    <row r="2" spans="1:10">
      <c r="A2" t="s">
        <v>2</v>
      </c>
    </row>
    <row r="3" spans="1:10">
      <c r="A3" t="s">
        <v>741</v>
      </c>
      <c r="B3" s="7">
        <f>+'Cash Flow'!BE121</f>
        <v>4894245.7481165202</v>
      </c>
      <c r="C3" s="7">
        <f>+'Cash Flow'!BJ121</f>
        <v>6449549.0677077901</v>
      </c>
      <c r="D3" s="7">
        <f>+'Cash Flow'!BO121</f>
        <v>8548634.365547318</v>
      </c>
      <c r="E3" s="7">
        <f>+'Cash Flow'!BP121</f>
        <v>11420835.008112997</v>
      </c>
      <c r="G3" s="7">
        <f>+B3</f>
        <v>4894245.7481165202</v>
      </c>
      <c r="H3" s="7">
        <f t="shared" ref="H3:J3" si="1">+C3</f>
        <v>6449549.0677077901</v>
      </c>
      <c r="I3" s="7">
        <f t="shared" si="1"/>
        <v>8548634.365547318</v>
      </c>
      <c r="J3" s="7">
        <f t="shared" si="1"/>
        <v>11420835.008112997</v>
      </c>
    </row>
    <row r="4" spans="1:10">
      <c r="A4" t="s">
        <v>742</v>
      </c>
      <c r="B4" s="7">
        <f>+'Cash Flow'!BE122</f>
        <v>4894245.7481165202</v>
      </c>
      <c r="C4" s="7">
        <f>+'Cash Flow'!BJ122</f>
        <v>6449549.0677077901</v>
      </c>
      <c r="D4" s="7">
        <f>+'Cash Flow'!BO122</f>
        <v>8548634.365547318</v>
      </c>
      <c r="E4" s="7">
        <f>+'Cash Flow'!BP122</f>
        <v>11420835.008112997</v>
      </c>
      <c r="G4" s="7">
        <f>+B4-G3</f>
        <v>0</v>
      </c>
      <c r="H4" s="7">
        <f>+C4-H3</f>
        <v>0</v>
      </c>
      <c r="I4" s="7">
        <f>+D4-I3</f>
        <v>0</v>
      </c>
      <c r="J4" s="7">
        <f>+E4-J3</f>
        <v>0</v>
      </c>
    </row>
    <row r="5" spans="1:10" ht="26">
      <c r="B5" s="1010">
        <f>+B4-B3</f>
        <v>0</v>
      </c>
      <c r="C5" s="1010">
        <f t="shared" ref="C5:E5" si="2">+C4-C3</f>
        <v>0</v>
      </c>
      <c r="D5" s="1010">
        <f t="shared" si="2"/>
        <v>0</v>
      </c>
      <c r="E5" s="1010">
        <f t="shared" si="2"/>
        <v>0</v>
      </c>
      <c r="G5" s="7"/>
      <c r="H5" s="7"/>
      <c r="I5" s="7"/>
      <c r="J5" s="7"/>
    </row>
    <row r="6" spans="1:10">
      <c r="A6" t="s">
        <v>5</v>
      </c>
    </row>
    <row r="7" spans="1:10">
      <c r="A7" t="s">
        <v>741</v>
      </c>
      <c r="B7" s="7">
        <f>+'Cash Flow'!BE128</f>
        <v>2690911.957908724</v>
      </c>
      <c r="C7" s="7">
        <f>+'Cash Flow'!BJ128</f>
        <v>3774143.2237262074</v>
      </c>
      <c r="D7" s="7">
        <f>+'Cash Flow'!BO128</f>
        <v>5416397.2771948176</v>
      </c>
      <c r="E7" s="7">
        <f>+'Cash Flow'!BP128</f>
        <v>7828573.3158743661</v>
      </c>
    </row>
    <row r="8" spans="1:10">
      <c r="A8" t="s">
        <v>742</v>
      </c>
      <c r="B8" s="7">
        <f>+'Cash Flow'!BE129</f>
        <v>2690911.957908724</v>
      </c>
      <c r="C8" s="7">
        <f>+'Cash Flow'!BJ129</f>
        <v>3774143.2237262074</v>
      </c>
      <c r="D8" s="7">
        <f>+'Cash Flow'!BO129</f>
        <v>5416397.2771948176</v>
      </c>
      <c r="E8" s="7">
        <f>+'Cash Flow'!BP129</f>
        <v>7828573.3158743661</v>
      </c>
    </row>
    <row r="9" spans="1:10" ht="26">
      <c r="B9" s="1010">
        <f>+B8-B7</f>
        <v>0</v>
      </c>
      <c r="C9" s="1010">
        <f t="shared" ref="C9" si="3">+C8-C7</f>
        <v>0</v>
      </c>
      <c r="D9" s="1010">
        <f t="shared" ref="D9" si="4">+D8-D7</f>
        <v>0</v>
      </c>
      <c r="E9" s="1010">
        <f t="shared" ref="E9" si="5">+E8-E7</f>
        <v>0</v>
      </c>
    </row>
    <row r="10" spans="1:10">
      <c r="A10" t="s">
        <v>3</v>
      </c>
    </row>
    <row r="11" spans="1:10">
      <c r="A11" t="s">
        <v>741</v>
      </c>
      <c r="B11" s="7">
        <f>+'Cash Flow'!BE135</f>
        <v>571499.82020779734</v>
      </c>
      <c r="C11" s="7">
        <f>+'Cash Flow'!BJ135</f>
        <v>941408.54984540492</v>
      </c>
      <c r="D11" s="7">
        <f>+'Cash Flow'!BO135</f>
        <v>1323386.6801778926</v>
      </c>
      <c r="E11" s="7">
        <f>+'Cash Flow'!BP135</f>
        <v>1752259.1410605039</v>
      </c>
    </row>
    <row r="12" spans="1:10">
      <c r="A12" t="s">
        <v>742</v>
      </c>
      <c r="B12" s="7">
        <f>+'Cash Flow'!BE136</f>
        <v>571499.82020779734</v>
      </c>
      <c r="C12" s="7">
        <f>+'Cash Flow'!BJ136</f>
        <v>941408.54984540492</v>
      </c>
      <c r="D12" s="7">
        <f>+'Cash Flow'!BO136</f>
        <v>1323386.6801778926</v>
      </c>
      <c r="E12" s="7">
        <f>+'Cash Flow'!BP136</f>
        <v>1752259.1410605039</v>
      </c>
    </row>
    <row r="14" spans="1:10">
      <c r="A14" s="1011"/>
      <c r="B14" s="1011"/>
      <c r="C14" s="1011"/>
      <c r="D14" s="1011"/>
      <c r="E14" s="1011"/>
      <c r="F14" s="1011"/>
      <c r="G14" s="1011"/>
      <c r="H14" s="1011"/>
      <c r="I14" s="1011"/>
      <c r="J14" s="1011"/>
    </row>
    <row r="15" spans="1:10">
      <c r="A15" s="1011"/>
      <c r="B15" s="1011"/>
      <c r="C15" s="1011"/>
      <c r="D15" s="1011"/>
      <c r="E15" s="1011"/>
      <c r="F15" s="1011"/>
      <c r="G15" s="1011"/>
      <c r="H15" s="1011"/>
      <c r="I15" s="1011"/>
      <c r="J15" s="1011"/>
    </row>
    <row r="16" spans="1:10">
      <c r="A16" s="1011"/>
      <c r="B16" s="1011"/>
      <c r="C16" s="1011"/>
      <c r="D16" s="1011"/>
      <c r="E16" s="1011"/>
      <c r="F16" s="1011"/>
      <c r="G16" s="1011"/>
      <c r="H16" s="1011"/>
      <c r="I16" s="1011"/>
      <c r="J16" s="1011"/>
    </row>
    <row r="17" spans="1:10">
      <c r="A17" s="1011"/>
      <c r="B17" s="1011"/>
      <c r="C17" s="1011"/>
      <c r="D17" s="1011"/>
      <c r="E17" s="1011"/>
      <c r="F17" s="1011"/>
      <c r="G17" s="1011"/>
      <c r="H17" s="1011"/>
      <c r="I17" s="1011"/>
      <c r="J17" s="1011"/>
    </row>
    <row r="18" spans="1:10">
      <c r="A18" s="1011"/>
      <c r="B18" s="1011"/>
      <c r="C18" s="1011"/>
      <c r="D18" s="1011"/>
      <c r="E18" s="1011"/>
      <c r="F18" s="1011"/>
      <c r="G18" s="1011"/>
      <c r="H18" s="1011"/>
      <c r="I18" s="1011"/>
      <c r="J18" s="1011"/>
    </row>
    <row r="19" spans="1:10">
      <c r="A19" s="1011"/>
      <c r="B19" s="1011"/>
      <c r="C19" s="1011"/>
      <c r="D19" s="1011"/>
      <c r="E19" s="1011"/>
      <c r="F19" s="1011"/>
      <c r="G19" s="1011"/>
      <c r="H19" s="1011"/>
      <c r="I19" s="1011"/>
      <c r="J19" s="1011"/>
    </row>
    <row r="20" spans="1:10">
      <c r="A20" s="1011"/>
      <c r="B20" s="1011"/>
      <c r="C20" s="1011"/>
      <c r="D20" s="1011"/>
      <c r="E20" s="1011"/>
      <c r="F20" s="1011"/>
      <c r="G20" s="1011"/>
      <c r="H20" s="1011"/>
      <c r="I20" s="1011"/>
      <c r="J20" s="1011"/>
    </row>
    <row r="21" spans="1:10">
      <c r="A21" s="1011"/>
      <c r="B21" s="1011"/>
      <c r="C21" s="1011"/>
      <c r="D21" s="1011"/>
      <c r="E21" s="1011"/>
      <c r="F21" s="1011"/>
      <c r="G21" s="1011"/>
      <c r="H21" s="1011"/>
      <c r="I21" s="1011"/>
      <c r="J21" s="1011"/>
    </row>
    <row r="22" spans="1:10">
      <c r="A22" s="1011"/>
      <c r="B22" s="1011"/>
      <c r="C22" s="1011"/>
      <c r="D22" s="1011"/>
      <c r="E22" s="1011"/>
      <c r="F22" s="1011"/>
      <c r="G22" s="1011"/>
      <c r="H22" s="1011"/>
      <c r="I22" s="1011"/>
      <c r="J22" s="1011"/>
    </row>
    <row r="23" spans="1:10">
      <c r="A23" s="1011"/>
      <c r="B23" s="1011"/>
      <c r="C23" s="1011"/>
      <c r="D23" s="1011"/>
      <c r="E23" s="1011"/>
      <c r="F23" s="1011"/>
      <c r="G23" s="1011"/>
      <c r="H23" s="1011"/>
      <c r="I23" s="1011"/>
      <c r="J23" s="1011"/>
    </row>
    <row r="24" spans="1:10">
      <c r="A24" s="1011"/>
      <c r="B24" s="1011"/>
      <c r="C24" s="1011"/>
      <c r="D24" s="1011"/>
      <c r="E24" s="1011"/>
      <c r="F24" s="1011"/>
      <c r="G24" s="1011"/>
      <c r="H24" s="1011"/>
      <c r="I24" s="1011"/>
      <c r="J24" s="1011"/>
    </row>
    <row r="25" spans="1:10">
      <c r="A25" s="1011"/>
      <c r="B25" s="1011"/>
      <c r="C25" s="1011"/>
      <c r="D25" s="1011"/>
      <c r="E25" s="1011"/>
      <c r="F25" s="1011"/>
      <c r="G25" s="1011"/>
      <c r="H25" s="1011"/>
      <c r="I25" s="1011"/>
      <c r="J25" s="1011"/>
    </row>
    <row r="26" spans="1:10">
      <c r="A26" s="1011"/>
      <c r="B26" s="1011"/>
      <c r="C26" s="1011"/>
      <c r="D26" s="1011"/>
      <c r="E26" s="1011"/>
      <c r="F26" s="1011"/>
      <c r="G26" s="1011"/>
      <c r="H26" s="1011"/>
      <c r="I26" s="1011"/>
      <c r="J26" s="1011"/>
    </row>
    <row r="27" spans="1:10">
      <c r="A27" s="1011"/>
      <c r="B27" s="1011"/>
      <c r="C27" s="1011"/>
      <c r="D27" s="1011"/>
      <c r="E27" s="1011"/>
      <c r="F27" s="1011"/>
      <c r="G27" s="1011"/>
      <c r="H27" s="1011"/>
      <c r="I27" s="1011"/>
      <c r="J27" s="1011"/>
    </row>
    <row r="28" spans="1:10">
      <c r="A28" s="1011"/>
      <c r="B28" s="1011"/>
      <c r="C28" s="1011"/>
      <c r="D28" s="1011"/>
      <c r="E28" s="1011"/>
      <c r="F28" s="1011"/>
      <c r="G28" s="1011"/>
      <c r="H28" s="1011"/>
      <c r="I28" s="1011"/>
      <c r="J28" s="1011"/>
    </row>
    <row r="29" spans="1:10">
      <c r="A29" s="1011"/>
      <c r="B29" s="1011"/>
      <c r="C29" s="1011"/>
      <c r="D29" s="1011"/>
      <c r="E29" s="1011"/>
      <c r="F29" s="1011"/>
      <c r="G29" s="1011"/>
      <c r="H29" s="1011"/>
      <c r="I29" s="1011"/>
      <c r="J29" s="1011"/>
    </row>
    <row r="30" spans="1:10">
      <c r="A30" s="1011"/>
      <c r="B30" s="1011"/>
      <c r="C30" s="1011"/>
      <c r="D30" s="1011"/>
      <c r="E30" s="1011"/>
      <c r="F30" s="1011"/>
      <c r="G30" s="1011"/>
      <c r="H30" s="1011"/>
      <c r="I30" s="1011"/>
      <c r="J30" s="1011"/>
    </row>
    <row r="31" spans="1:10">
      <c r="A31" s="1011"/>
      <c r="B31" s="1011"/>
      <c r="C31" s="1011"/>
      <c r="D31" s="1011"/>
      <c r="E31" s="1011"/>
      <c r="F31" s="1011"/>
      <c r="G31" s="1011"/>
      <c r="H31" s="1011"/>
      <c r="I31" s="1011"/>
      <c r="J31" s="1011"/>
    </row>
    <row r="32" spans="1:10">
      <c r="A32" s="1011"/>
      <c r="B32" s="1011"/>
      <c r="C32" s="1011"/>
      <c r="D32" s="1011"/>
      <c r="E32" s="1011"/>
      <c r="F32" s="1011"/>
      <c r="G32" s="1011"/>
      <c r="H32" s="1011"/>
      <c r="I32" s="1011"/>
      <c r="J32" s="1011"/>
    </row>
    <row r="33" spans="1:10">
      <c r="A33" s="1011"/>
      <c r="B33" s="1011"/>
      <c r="C33" s="1011"/>
      <c r="D33" s="1011"/>
      <c r="E33" s="1011"/>
      <c r="F33" s="1011"/>
      <c r="G33" s="1011"/>
      <c r="H33" s="1011"/>
      <c r="I33" s="1011"/>
      <c r="J33" s="1011"/>
    </row>
    <row r="34" spans="1:10">
      <c r="A34" s="1011"/>
      <c r="B34" s="1011"/>
      <c r="C34" s="1011"/>
      <c r="D34" s="1011"/>
      <c r="E34" s="1011"/>
      <c r="F34" s="1011"/>
      <c r="G34" s="1011"/>
      <c r="H34" s="1011"/>
      <c r="I34" s="1011"/>
      <c r="J34" s="1011"/>
    </row>
    <row r="35" spans="1:10">
      <c r="A35" s="1011"/>
      <c r="B35" s="1011"/>
      <c r="C35" s="1011"/>
      <c r="D35" s="1011"/>
      <c r="E35" s="1011"/>
      <c r="F35" s="1011"/>
      <c r="G35" s="1011"/>
      <c r="H35" s="1011"/>
      <c r="I35" s="1011"/>
      <c r="J35" s="1011"/>
    </row>
    <row r="36" spans="1:10">
      <c r="A36" s="1011"/>
      <c r="B36" s="1011"/>
      <c r="C36" s="1011"/>
      <c r="D36" s="1011"/>
      <c r="E36" s="1011"/>
      <c r="F36" s="1011"/>
      <c r="G36" s="1011"/>
      <c r="H36" s="1011"/>
      <c r="I36" s="1011"/>
      <c r="J36" s="1011"/>
    </row>
    <row r="37" spans="1:10">
      <c r="A37" s="1011"/>
      <c r="B37" s="1011"/>
      <c r="C37" s="1011"/>
      <c r="D37" s="1011"/>
      <c r="E37" s="1011"/>
      <c r="F37" s="1011"/>
      <c r="G37" s="1011"/>
      <c r="H37" s="1011"/>
      <c r="I37" s="1011"/>
      <c r="J37" s="1011"/>
    </row>
    <row r="38" spans="1:10">
      <c r="A38" s="1011"/>
      <c r="B38" s="1011"/>
      <c r="C38" s="1011"/>
      <c r="D38" s="1011"/>
      <c r="E38" s="1011"/>
      <c r="F38" s="1011"/>
      <c r="G38" s="1011"/>
      <c r="H38" s="1011"/>
      <c r="I38" s="1011"/>
      <c r="J38" s="1011"/>
    </row>
    <row r="39" spans="1:10">
      <c r="A39" s="1011"/>
      <c r="B39" s="1011"/>
      <c r="C39" s="1011"/>
      <c r="D39" s="1011"/>
      <c r="E39" s="1011"/>
      <c r="F39" s="1011"/>
      <c r="G39" s="1011"/>
      <c r="H39" s="1011"/>
      <c r="I39" s="1011"/>
      <c r="J39" s="1011"/>
    </row>
    <row r="40" spans="1:10">
      <c r="A40" s="1011"/>
      <c r="B40" s="1011"/>
      <c r="C40" s="1011"/>
      <c r="D40" s="1011"/>
      <c r="E40" s="1011"/>
      <c r="F40" s="1011"/>
      <c r="G40" s="1011"/>
      <c r="H40" s="1011"/>
      <c r="I40" s="1011"/>
      <c r="J40" s="1011"/>
    </row>
    <row r="41" spans="1:10">
      <c r="A41" s="1011"/>
      <c r="B41" s="1011"/>
      <c r="C41" s="1011"/>
      <c r="D41" s="1011"/>
      <c r="E41" s="1011"/>
      <c r="F41" s="1011"/>
      <c r="G41" s="1011"/>
      <c r="H41" s="1011"/>
      <c r="I41" s="1011"/>
      <c r="J41" s="1011"/>
    </row>
    <row r="42" spans="1:10">
      <c r="A42" s="1011"/>
      <c r="B42" s="1011"/>
      <c r="C42" s="1011"/>
      <c r="D42" s="1011"/>
      <c r="E42" s="1011"/>
      <c r="F42" s="1011"/>
      <c r="G42" s="1011"/>
      <c r="H42" s="1011"/>
      <c r="I42" s="1011"/>
      <c r="J42" s="1011"/>
    </row>
    <row r="43" spans="1:10">
      <c r="A43" s="1011"/>
      <c r="B43" s="1011"/>
      <c r="C43" s="1011"/>
      <c r="D43" s="1011"/>
      <c r="E43" s="1011"/>
      <c r="F43" s="1011"/>
      <c r="G43" s="1011"/>
      <c r="H43" s="1011"/>
      <c r="I43" s="1011"/>
      <c r="J43" s="1011"/>
    </row>
    <row r="44" spans="1:10">
      <c r="A44" s="1011"/>
      <c r="B44" s="1011"/>
      <c r="C44" s="1011"/>
      <c r="D44" s="1011"/>
      <c r="E44" s="1011"/>
      <c r="F44" s="1011"/>
      <c r="G44" s="1011"/>
      <c r="H44" s="1011"/>
      <c r="I44" s="1011"/>
      <c r="J44" s="1011"/>
    </row>
    <row r="45" spans="1:10">
      <c r="A45" s="1011"/>
      <c r="B45" s="1011"/>
      <c r="C45" s="1011"/>
      <c r="D45" s="1011"/>
      <c r="E45" s="1011"/>
      <c r="F45" s="1011"/>
      <c r="G45" s="1011"/>
      <c r="H45" s="1011"/>
      <c r="I45" s="1011"/>
      <c r="J45" s="1011"/>
    </row>
    <row r="46" spans="1:10">
      <c r="A46" s="1011"/>
      <c r="B46" s="1011"/>
      <c r="C46" s="1011"/>
      <c r="D46" s="1011"/>
      <c r="E46" s="1011"/>
      <c r="F46" s="1011"/>
      <c r="G46" s="1011"/>
      <c r="H46" s="1011"/>
      <c r="I46" s="1011"/>
      <c r="J46" s="1011"/>
    </row>
    <row r="47" spans="1:10">
      <c r="A47" s="1011"/>
      <c r="B47" s="1011"/>
      <c r="C47" s="1011"/>
      <c r="D47" s="1011"/>
      <c r="E47" s="1011"/>
      <c r="F47" s="1011"/>
      <c r="G47" s="1011"/>
      <c r="H47" s="1011"/>
      <c r="I47" s="1011"/>
      <c r="J47" s="1011"/>
    </row>
    <row r="48" spans="1:10">
      <c r="A48" s="1011"/>
      <c r="B48" s="1011"/>
      <c r="C48" s="1011"/>
      <c r="D48" s="1011"/>
      <c r="E48" s="1011"/>
      <c r="F48" s="1011"/>
      <c r="G48" s="1011"/>
      <c r="H48" s="1011"/>
      <c r="I48" s="1011"/>
      <c r="J48" s="1011"/>
    </row>
    <row r="49" spans="1:10">
      <c r="A49" s="1011"/>
      <c r="B49" s="1011"/>
      <c r="C49" s="1011"/>
      <c r="D49" s="1011"/>
      <c r="E49" s="1011"/>
      <c r="F49" s="1011"/>
      <c r="G49" s="1011"/>
      <c r="H49" s="1011"/>
      <c r="I49" s="1011"/>
      <c r="J49" s="1011"/>
    </row>
    <row r="50" spans="1:10">
      <c r="A50" s="1011"/>
      <c r="B50" s="1011"/>
      <c r="C50" s="1011"/>
      <c r="D50" s="1011"/>
      <c r="E50" s="1011"/>
      <c r="F50" s="1011"/>
      <c r="G50" s="1011"/>
      <c r="H50" s="1011"/>
      <c r="I50" s="1011"/>
      <c r="J50" s="1011"/>
    </row>
    <row r="51" spans="1:10">
      <c r="A51" s="1011"/>
      <c r="B51" s="1011"/>
      <c r="C51" s="1011"/>
      <c r="D51" s="1011"/>
      <c r="E51" s="1011"/>
      <c r="F51" s="1011"/>
      <c r="G51" s="1011"/>
      <c r="H51" s="1011"/>
      <c r="I51" s="1011"/>
      <c r="J51" s="1011"/>
    </row>
    <row r="52" spans="1:10">
      <c r="A52" s="1011"/>
      <c r="B52" s="1011"/>
      <c r="C52" s="1011"/>
      <c r="D52" s="1011"/>
      <c r="E52" s="1011"/>
      <c r="F52" s="1011"/>
      <c r="G52" s="1011"/>
      <c r="H52" s="1011"/>
      <c r="I52" s="1011"/>
      <c r="J52" s="1011"/>
    </row>
    <row r="53" spans="1:10">
      <c r="A53" s="1011"/>
      <c r="B53" s="1011"/>
      <c r="C53" s="1011"/>
      <c r="D53" s="1011"/>
      <c r="E53" s="1011"/>
      <c r="F53" s="1011"/>
      <c r="G53" s="1011"/>
      <c r="H53" s="1011"/>
      <c r="I53" s="1011"/>
      <c r="J53" s="1011"/>
    </row>
    <row r="54" spans="1:10">
      <c r="A54" s="1011"/>
      <c r="B54" s="1011"/>
      <c r="C54" s="1011"/>
      <c r="D54" s="1011"/>
      <c r="E54" s="1011"/>
      <c r="F54" s="1011"/>
      <c r="G54" s="1011"/>
      <c r="H54" s="1011"/>
      <c r="I54" s="1011"/>
      <c r="J54" s="1011"/>
    </row>
    <row r="55" spans="1:10">
      <c r="A55" s="1011"/>
      <c r="B55" s="1011"/>
      <c r="C55" s="1011"/>
      <c r="D55" s="1011"/>
      <c r="E55" s="1011"/>
      <c r="F55" s="1011"/>
      <c r="G55" s="1011"/>
      <c r="H55" s="1011"/>
      <c r="I55" s="1011"/>
      <c r="J55" s="1011"/>
    </row>
    <row r="56" spans="1:10">
      <c r="A56" s="1011"/>
      <c r="B56" s="1011"/>
      <c r="C56" s="1011"/>
      <c r="D56" s="1011"/>
      <c r="E56" s="1011"/>
      <c r="F56" s="1011"/>
      <c r="G56" s="1011"/>
      <c r="H56" s="1011"/>
      <c r="I56" s="1011"/>
      <c r="J56" s="1011"/>
    </row>
    <row r="57" spans="1:10">
      <c r="A57" s="1011"/>
      <c r="B57" s="1011"/>
      <c r="C57" s="1011"/>
      <c r="D57" s="1011"/>
      <c r="E57" s="1011"/>
      <c r="F57" s="1011"/>
      <c r="G57" s="1011"/>
      <c r="H57" s="1011"/>
      <c r="I57" s="1011"/>
      <c r="J57" s="1011"/>
    </row>
    <row r="58" spans="1:10">
      <c r="A58" s="1011"/>
      <c r="B58" s="1011"/>
      <c r="C58" s="1011"/>
      <c r="D58" s="1011"/>
      <c r="E58" s="1011"/>
      <c r="F58" s="1011"/>
      <c r="G58" s="1011"/>
      <c r="H58" s="1011"/>
      <c r="I58" s="1011"/>
      <c r="J58" s="1011"/>
    </row>
    <row r="59" spans="1:10">
      <c r="A59" s="1011"/>
      <c r="B59" s="1011"/>
      <c r="C59" s="1011"/>
      <c r="D59" s="1011"/>
      <c r="E59" s="1011"/>
      <c r="F59" s="1011"/>
      <c r="G59" s="1011"/>
      <c r="H59" s="1011"/>
      <c r="I59" s="1011"/>
      <c r="J59" s="1011"/>
    </row>
    <row r="60" spans="1:10">
      <c r="A60" s="1011"/>
      <c r="B60" s="1011"/>
      <c r="C60" s="1011"/>
      <c r="D60" s="1011"/>
      <c r="E60" s="1011"/>
      <c r="F60" s="1011"/>
      <c r="G60" s="1011"/>
      <c r="H60" s="1011"/>
      <c r="I60" s="1011"/>
      <c r="J60" s="10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E26B-930B-4457-BEDD-D66E4CE3B823}">
  <dimension ref="A1:AV73"/>
  <sheetViews>
    <sheetView showGridLines="0" zoomScale="115" zoomScaleNormal="115" workbookViewId="0">
      <selection activeCell="Q24" sqref="Q24"/>
    </sheetView>
  </sheetViews>
  <sheetFormatPr defaultRowHeight="11.5" customHeight="1"/>
  <cols>
    <col min="1" max="1" width="1.7265625" customWidth="1"/>
    <col min="2" max="10" width="6.453125" customWidth="1"/>
    <col min="11" max="11" width="7" customWidth="1"/>
    <col min="12" max="14" width="2.1796875" customWidth="1"/>
    <col min="16" max="16" width="6.453125" customWidth="1"/>
    <col min="17" max="20" width="6.453125" style="906" customWidth="1"/>
    <col min="21" max="23" width="1.81640625" style="906" customWidth="1"/>
    <col min="24" max="25" width="6.453125" style="906" customWidth="1"/>
    <col min="26" max="28" width="2.1796875" customWidth="1"/>
    <col min="29" max="32" width="6.453125" style="906" customWidth="1"/>
    <col min="33" max="33" width="6.453125" customWidth="1"/>
    <col min="34" max="34" width="6.453125" style="906" customWidth="1"/>
    <col min="35" max="36" width="2.1796875" customWidth="1"/>
    <col min="37" max="38" width="6.453125" style="906" customWidth="1"/>
    <col min="40" max="40" width="13.1796875" bestFit="1" customWidth="1"/>
    <col min="41" max="41" width="10.81640625" bestFit="1" customWidth="1"/>
  </cols>
  <sheetData>
    <row r="1" spans="1:41" ht="11.5" customHeight="1">
      <c r="A1" s="32"/>
      <c r="B1" s="32"/>
      <c r="C1" s="32"/>
      <c r="D1" s="32"/>
      <c r="E1" s="32"/>
      <c r="F1" s="32"/>
      <c r="G1" s="32"/>
      <c r="H1" s="32"/>
      <c r="I1" s="32"/>
      <c r="J1" s="32"/>
      <c r="K1" s="32"/>
      <c r="L1" s="32"/>
      <c r="M1" s="32"/>
      <c r="N1" s="32"/>
      <c r="O1" s="32"/>
      <c r="P1" s="32"/>
      <c r="Q1" s="922"/>
      <c r="R1" s="922"/>
      <c r="S1" s="922"/>
      <c r="T1" s="922"/>
      <c r="U1" s="922"/>
      <c r="V1" s="922"/>
      <c r="W1" s="922"/>
      <c r="X1" s="922"/>
      <c r="Y1" s="922"/>
      <c r="Z1" s="32"/>
      <c r="AA1" s="32"/>
      <c r="AB1" s="32"/>
      <c r="AC1" s="922"/>
      <c r="AD1" s="922"/>
      <c r="AE1" s="922"/>
      <c r="AF1" s="922"/>
      <c r="AG1" s="32"/>
      <c r="AH1" s="922"/>
      <c r="AI1" s="32"/>
      <c r="AJ1" s="32"/>
    </row>
    <row r="2" spans="1:41" ht="11.5" customHeight="1" thickBot="1">
      <c r="A2" s="32"/>
      <c r="B2" s="32"/>
      <c r="C2" s="32"/>
      <c r="D2" s="32"/>
      <c r="E2" s="32"/>
      <c r="F2" s="32"/>
      <c r="G2" s="32"/>
      <c r="H2" s="32"/>
      <c r="I2" s="32"/>
      <c r="J2" s="32"/>
      <c r="K2" s="32"/>
      <c r="L2" s="32"/>
      <c r="M2" s="32"/>
      <c r="N2" s="32"/>
      <c r="O2" s="32"/>
      <c r="P2" s="32"/>
      <c r="Q2" s="922"/>
      <c r="R2" s="922"/>
      <c r="S2" s="922"/>
      <c r="T2" s="922"/>
      <c r="U2" s="922"/>
      <c r="V2" s="922"/>
      <c r="W2" s="922"/>
      <c r="X2" s="922"/>
      <c r="Y2" s="922"/>
      <c r="Z2" s="32"/>
      <c r="AA2" s="32"/>
      <c r="AB2" s="32"/>
      <c r="AC2" s="922"/>
      <c r="AD2" s="922"/>
      <c r="AE2" s="922"/>
      <c r="AF2" s="922"/>
      <c r="AG2" s="32"/>
      <c r="AH2" s="922"/>
      <c r="AI2" s="32"/>
      <c r="AJ2" s="32"/>
      <c r="AK2"/>
    </row>
    <row r="3" spans="1:41" ht="11.5" customHeight="1" thickTop="1">
      <c r="A3" s="32"/>
      <c r="B3" s="923"/>
      <c r="C3" s="924"/>
      <c r="D3" s="924"/>
      <c r="E3" s="924"/>
      <c r="F3" s="924"/>
      <c r="G3" s="924"/>
      <c r="H3" s="924"/>
      <c r="I3" s="924"/>
      <c r="J3" s="924"/>
      <c r="K3" s="924"/>
      <c r="L3" s="925"/>
      <c r="M3" s="32"/>
      <c r="N3" s="923"/>
      <c r="O3" s="924"/>
      <c r="P3" s="924"/>
      <c r="Q3" s="924"/>
      <c r="R3" s="924"/>
      <c r="S3" s="924"/>
      <c r="T3" s="924"/>
      <c r="U3" s="925"/>
      <c r="V3" s="32"/>
      <c r="W3" s="923"/>
      <c r="X3" s="926"/>
      <c r="Y3" s="926"/>
      <c r="Z3" s="924"/>
      <c r="AA3" s="924"/>
      <c r="AB3" s="924"/>
      <c r="AC3" s="926"/>
      <c r="AD3" s="926"/>
      <c r="AE3" s="926"/>
      <c r="AF3" s="924"/>
      <c r="AG3" s="926"/>
      <c r="AH3" s="926"/>
      <c r="AI3" s="925"/>
      <c r="AJ3" s="32"/>
      <c r="AK3"/>
      <c r="AL3" s="2"/>
    </row>
    <row r="4" spans="1:41" ht="11.5" customHeight="1">
      <c r="A4" s="32"/>
      <c r="B4" s="982" t="s">
        <v>2</v>
      </c>
      <c r="C4" s="972"/>
      <c r="D4" s="972"/>
      <c r="E4" s="972"/>
      <c r="F4" s="972"/>
      <c r="G4" s="972"/>
      <c r="H4" s="972"/>
      <c r="I4" s="972"/>
      <c r="J4" s="972"/>
      <c r="K4" s="972"/>
      <c r="L4" s="927"/>
      <c r="M4" s="32"/>
      <c r="N4" s="928"/>
      <c r="O4" s="983" t="s">
        <v>690</v>
      </c>
      <c r="P4" s="972"/>
      <c r="Q4" s="972"/>
      <c r="R4" s="972"/>
      <c r="S4" s="972"/>
      <c r="T4" s="972"/>
      <c r="U4" s="927"/>
      <c r="V4" s="32"/>
      <c r="W4" s="928"/>
      <c r="X4" s="984" t="s">
        <v>694</v>
      </c>
      <c r="Y4" s="985"/>
      <c r="Z4" s="972"/>
      <c r="AA4" s="972"/>
      <c r="AB4" s="972"/>
      <c r="AC4" s="985"/>
      <c r="AD4" s="985"/>
      <c r="AE4" s="985"/>
      <c r="AF4" s="972"/>
      <c r="AG4" s="985"/>
      <c r="AH4" s="985"/>
      <c r="AI4" s="927"/>
      <c r="AJ4" s="32"/>
      <c r="AK4"/>
      <c r="AL4"/>
      <c r="AM4" s="1" t="s">
        <v>687</v>
      </c>
    </row>
    <row r="5" spans="1:41" ht="11.5" customHeight="1">
      <c r="A5" s="32"/>
      <c r="B5" s="1082">
        <f>+Charts!S9</f>
        <v>4648383.97</v>
      </c>
      <c r="C5" s="1083"/>
      <c r="D5" s="929"/>
      <c r="E5" s="929"/>
      <c r="F5" s="32"/>
      <c r="G5" s="32"/>
      <c r="H5" s="32"/>
      <c r="I5" s="32"/>
      <c r="J5" s="32"/>
      <c r="K5" s="32"/>
      <c r="L5" s="927"/>
      <c r="M5" s="32"/>
      <c r="N5" s="928"/>
      <c r="O5" s="971">
        <f ca="1">+'MoneyBoard - Key Metrics'!C3</f>
        <v>66338.315515958049</v>
      </c>
      <c r="P5" s="32"/>
      <c r="Q5" s="922"/>
      <c r="R5" s="922"/>
      <c r="S5" s="922"/>
      <c r="T5" s="922"/>
      <c r="U5" s="927"/>
      <c r="V5" s="32"/>
      <c r="W5" s="928"/>
      <c r="X5" s="930" t="s">
        <v>706</v>
      </c>
      <c r="Y5" s="922"/>
      <c r="Z5" s="32"/>
      <c r="AA5" s="32"/>
      <c r="AB5" s="32"/>
      <c r="AC5" s="922"/>
      <c r="AD5" s="922"/>
      <c r="AE5" s="922"/>
      <c r="AF5" s="32"/>
      <c r="AG5" s="922"/>
      <c r="AH5" s="922"/>
      <c r="AI5" s="927"/>
      <c r="AJ5" s="32"/>
      <c r="AK5"/>
      <c r="AM5" s="893">
        <v>43466</v>
      </c>
      <c r="AN5" s="7">
        <v>3150000</v>
      </c>
    </row>
    <row r="6" spans="1:41" ht="11.5" customHeight="1">
      <c r="A6" s="32"/>
      <c r="B6" s="928"/>
      <c r="C6" s="32"/>
      <c r="D6" s="32"/>
      <c r="E6" s="32"/>
      <c r="F6" s="32"/>
      <c r="G6" s="32"/>
      <c r="H6" s="931" t="s">
        <v>0</v>
      </c>
      <c r="I6" s="931"/>
      <c r="J6" s="931"/>
      <c r="K6" s="931" t="s">
        <v>1</v>
      </c>
      <c r="L6" s="927"/>
      <c r="M6" s="32"/>
      <c r="N6" s="932"/>
      <c r="O6" s="32"/>
      <c r="P6" s="32"/>
      <c r="Q6" s="922"/>
      <c r="R6" s="922"/>
      <c r="S6" s="922"/>
      <c r="T6" s="922"/>
      <c r="U6" s="927"/>
      <c r="V6" s="32"/>
      <c r="W6" s="928"/>
      <c r="X6" s="247" t="s">
        <v>692</v>
      </c>
      <c r="Y6" s="922"/>
      <c r="Z6" s="32"/>
      <c r="AA6" s="32"/>
      <c r="AB6" s="32"/>
      <c r="AC6" s="922"/>
      <c r="AD6" s="1073">
        <f>-'MoneyBoard - Key Metrics'!$C$6</f>
        <v>129384.79396907208</v>
      </c>
      <c r="AE6" s="1063"/>
      <c r="AF6" s="922"/>
      <c r="AG6" s="32"/>
      <c r="AH6" s="922"/>
      <c r="AI6" s="927"/>
      <c r="AJ6" s="32"/>
      <c r="AK6"/>
      <c r="AM6" s="893">
        <v>43617</v>
      </c>
      <c r="AN6" s="7">
        <f>+AN5*(1+AO6)</f>
        <v>3465000.0000000005</v>
      </c>
      <c r="AO6" s="170">
        <v>0.1</v>
      </c>
    </row>
    <row r="7" spans="1:41" ht="11.5" customHeight="1">
      <c r="A7" s="32"/>
      <c r="B7" s="928"/>
      <c r="C7" s="32"/>
      <c r="D7" s="32"/>
      <c r="E7" s="32"/>
      <c r="F7" s="32"/>
      <c r="G7" s="32"/>
      <c r="H7" s="32"/>
      <c r="I7" s="32"/>
      <c r="J7" s="32"/>
      <c r="K7" s="32"/>
      <c r="L7" s="927"/>
      <c r="M7" s="32"/>
      <c r="N7" s="932"/>
      <c r="O7" s="32"/>
      <c r="P7" s="32"/>
      <c r="Q7" s="32"/>
      <c r="R7" s="32"/>
      <c r="S7" s="32"/>
      <c r="T7" s="32"/>
      <c r="U7" s="927"/>
      <c r="V7" s="32"/>
      <c r="W7" s="928"/>
      <c r="X7" s="247" t="s">
        <v>704</v>
      </c>
      <c r="Y7" s="922"/>
      <c r="Z7" s="32"/>
      <c r="AA7" s="32"/>
      <c r="AB7" s="32"/>
      <c r="AC7" s="922"/>
      <c r="AD7" s="1062">
        <f>+'MoneyBoard - Key Metrics'!C8</f>
        <v>372050</v>
      </c>
      <c r="AE7" s="1063"/>
      <c r="AF7" s="922"/>
      <c r="AG7" s="32"/>
      <c r="AH7" s="922"/>
      <c r="AI7" s="927"/>
      <c r="AJ7" s="32"/>
      <c r="AK7"/>
      <c r="AM7" s="893">
        <v>43831</v>
      </c>
      <c r="AN7" s="7">
        <f t="shared" ref="AN7:AN16" si="0">+AN6*(1+AO7)</f>
        <v>3672900.0000000005</v>
      </c>
      <c r="AO7" s="170">
        <v>0.06</v>
      </c>
    </row>
    <row r="8" spans="1:41" ht="11.5" customHeight="1">
      <c r="A8" s="32"/>
      <c r="B8" s="928"/>
      <c r="C8" s="32"/>
      <c r="D8" s="32"/>
      <c r="E8" s="32"/>
      <c r="F8" s="32"/>
      <c r="G8" s="32"/>
      <c r="H8" s="931" t="s">
        <v>683</v>
      </c>
      <c r="I8" s="931"/>
      <c r="J8" s="1074">
        <f>+OPTIMIZER!AR24</f>
        <v>20939.419999999991</v>
      </c>
      <c r="K8" s="1075"/>
      <c r="L8" s="927"/>
      <c r="M8" s="32"/>
      <c r="N8" s="928"/>
      <c r="O8" s="32"/>
      <c r="P8" s="32"/>
      <c r="Q8" s="32"/>
      <c r="R8" s="931"/>
      <c r="S8" s="931"/>
      <c r="T8" s="931"/>
      <c r="U8" s="927"/>
      <c r="V8" s="32"/>
      <c r="W8" s="928"/>
      <c r="X8" s="922"/>
      <c r="Y8" s="922"/>
      <c r="Z8" s="32"/>
      <c r="AA8" s="32"/>
      <c r="AB8" s="32"/>
      <c r="AC8" s="933"/>
      <c r="AD8" s="933"/>
      <c r="AE8" s="922"/>
      <c r="AF8" s="934"/>
      <c r="AG8" s="934"/>
      <c r="AH8" s="934"/>
      <c r="AI8" s="927"/>
      <c r="AJ8" s="32"/>
      <c r="AK8"/>
      <c r="AM8" s="893">
        <v>43831</v>
      </c>
      <c r="AN8" s="7">
        <f t="shared" si="0"/>
        <v>3783087.0000000005</v>
      </c>
      <c r="AO8" s="170">
        <v>0.03</v>
      </c>
    </row>
    <row r="9" spans="1:41" ht="11.5" customHeight="1">
      <c r="A9" s="32"/>
      <c r="B9" s="928"/>
      <c r="C9" s="32"/>
      <c r="D9" s="32"/>
      <c r="E9" s="32"/>
      <c r="F9" s="32"/>
      <c r="G9" s="32"/>
      <c r="H9" s="931" t="s">
        <v>684</v>
      </c>
      <c r="I9" s="931"/>
      <c r="J9" s="1074">
        <f>+OPTIMIZER!AR25</f>
        <v>129384.79396907208</v>
      </c>
      <c r="K9" s="1075"/>
      <c r="L9" s="927"/>
      <c r="M9" s="32"/>
      <c r="N9" s="928"/>
      <c r="O9" s="32"/>
      <c r="P9" s="32"/>
      <c r="Q9" s="32"/>
      <c r="R9" s="32"/>
      <c r="S9" s="32"/>
      <c r="T9" s="32"/>
      <c r="U9" s="927"/>
      <c r="V9" s="32"/>
      <c r="W9" s="928"/>
      <c r="X9" s="922"/>
      <c r="Y9" s="922"/>
      <c r="Z9" s="32"/>
      <c r="AA9" s="32"/>
      <c r="AB9" s="32"/>
      <c r="AC9" s="935"/>
      <c r="AD9" s="935"/>
      <c r="AE9" s="922"/>
      <c r="AF9" s="936"/>
      <c r="AG9" s="936"/>
      <c r="AH9" s="936"/>
      <c r="AI9" s="927"/>
      <c r="AJ9" s="32"/>
      <c r="AK9"/>
      <c r="AM9" s="893">
        <v>44197</v>
      </c>
      <c r="AN9" s="7">
        <f t="shared" si="0"/>
        <v>3896579.6100000008</v>
      </c>
      <c r="AO9" s="170">
        <v>0.03</v>
      </c>
    </row>
    <row r="10" spans="1:41" ht="11.5" customHeight="1">
      <c r="A10" s="32"/>
      <c r="B10" s="928"/>
      <c r="C10" s="32"/>
      <c r="D10" s="32"/>
      <c r="E10" s="32"/>
      <c r="F10" s="32"/>
      <c r="G10" s="32"/>
      <c r="H10" s="931" t="s">
        <v>6</v>
      </c>
      <c r="I10" s="931"/>
      <c r="J10" s="1074">
        <f ca="1">+OPTIMIZER!AR26</f>
        <v>194041.71121010487</v>
      </c>
      <c r="K10" s="1075"/>
      <c r="L10" s="927"/>
      <c r="M10" s="32"/>
      <c r="N10" s="928"/>
      <c r="O10" s="32"/>
      <c r="P10" s="32"/>
      <c r="Q10" s="32"/>
      <c r="R10" s="931"/>
      <c r="S10" s="931"/>
      <c r="T10" s="937"/>
      <c r="U10" s="927"/>
      <c r="V10" s="32"/>
      <c r="W10" s="928"/>
      <c r="X10" s="922"/>
      <c r="Y10" s="922"/>
      <c r="Z10" s="32"/>
      <c r="AA10" s="32"/>
      <c r="AB10" s="32"/>
      <c r="AC10" s="935"/>
      <c r="AD10" s="949"/>
      <c r="AE10" s="931"/>
      <c r="AF10" s="937"/>
      <c r="AG10" s="937"/>
      <c r="AH10" s="937"/>
      <c r="AI10" s="927"/>
      <c r="AJ10" s="32"/>
      <c r="AK10"/>
      <c r="AM10" s="893">
        <v>44348</v>
      </c>
      <c r="AN10" s="7">
        <f t="shared" si="0"/>
        <v>3701750.6295000007</v>
      </c>
      <c r="AO10" s="170">
        <v>-0.05</v>
      </c>
    </row>
    <row r="11" spans="1:41" ht="11.5" customHeight="1">
      <c r="A11" s="32"/>
      <c r="B11" s="928"/>
      <c r="C11" s="32"/>
      <c r="D11" s="32"/>
      <c r="E11" s="32"/>
      <c r="F11" s="32"/>
      <c r="G11" s="32"/>
      <c r="H11" s="931" t="s">
        <v>5</v>
      </c>
      <c r="I11" s="931"/>
      <c r="J11" s="1074">
        <f ca="1">+'Model Portfolios'!N25</f>
        <v>1672184.074820823</v>
      </c>
      <c r="K11" s="1075"/>
      <c r="L11" s="927"/>
      <c r="M11" s="32"/>
      <c r="N11" s="928"/>
      <c r="O11" s="32"/>
      <c r="P11" s="32"/>
      <c r="Q11" s="32"/>
      <c r="R11" s="931"/>
      <c r="S11" s="931"/>
      <c r="T11" s="937"/>
      <c r="U11" s="927"/>
      <c r="V11" s="32"/>
      <c r="W11" s="928"/>
      <c r="X11" s="922"/>
      <c r="Y11" s="922"/>
      <c r="Z11" s="32"/>
      <c r="AA11" s="32"/>
      <c r="AB11" s="32"/>
      <c r="AC11" s="938"/>
      <c r="AD11" s="922"/>
      <c r="AE11" s="922"/>
      <c r="AF11" s="922"/>
      <c r="AG11" s="32"/>
      <c r="AH11" s="922"/>
      <c r="AI11" s="927"/>
      <c r="AJ11" s="32"/>
      <c r="AK11"/>
      <c r="AM11" s="893">
        <v>44562</v>
      </c>
      <c r="AN11" s="7">
        <f t="shared" si="0"/>
        <v>3516663.0980250007</v>
      </c>
      <c r="AO11" s="170">
        <v>-0.05</v>
      </c>
    </row>
    <row r="12" spans="1:41" ht="11.5" customHeight="1">
      <c r="A12" s="32"/>
      <c r="B12" s="928"/>
      <c r="C12" s="32"/>
      <c r="D12" s="32"/>
      <c r="E12" s="32"/>
      <c r="F12" s="32"/>
      <c r="G12" s="32"/>
      <c r="H12" s="931" t="s">
        <v>8</v>
      </c>
      <c r="I12" s="931"/>
      <c r="J12" s="1074">
        <f>+Charts!Z10</f>
        <v>1815000</v>
      </c>
      <c r="K12" s="1075"/>
      <c r="L12" s="927"/>
      <c r="M12" s="32"/>
      <c r="N12" s="928"/>
      <c r="O12" s="32"/>
      <c r="P12" s="32"/>
      <c r="Q12" s="32"/>
      <c r="R12" s="931"/>
      <c r="S12" s="931"/>
      <c r="T12" s="937"/>
      <c r="U12" s="927"/>
      <c r="V12" s="32"/>
      <c r="W12" s="928"/>
      <c r="X12" s="922"/>
      <c r="Y12" s="922"/>
      <c r="Z12" s="32"/>
      <c r="AA12" s="32"/>
      <c r="AB12" s="32"/>
      <c r="AC12" s="935"/>
      <c r="AD12" s="922"/>
      <c r="AE12" s="949" t="str">
        <f>+'MoneyBoard - Balance Sheet'!C82</f>
        <v>Chase Total Checking</v>
      </c>
      <c r="AF12" s="931"/>
      <c r="AG12" s="32"/>
      <c r="AH12" s="937">
        <f>+'MoneyBoard - Balance Sheet'!D82</f>
        <v>25050</v>
      </c>
      <c r="AI12" s="927"/>
      <c r="AJ12" s="33"/>
      <c r="AK12"/>
      <c r="AM12" s="893">
        <v>44713</v>
      </c>
      <c r="AN12" s="7">
        <f t="shared" si="0"/>
        <v>4044162.5627287505</v>
      </c>
      <c r="AO12" s="170">
        <v>0.15</v>
      </c>
    </row>
    <row r="13" spans="1:41" ht="11.5" customHeight="1">
      <c r="A13" s="32"/>
      <c r="B13" s="928"/>
      <c r="C13" s="32"/>
      <c r="D13" s="32"/>
      <c r="E13" s="32"/>
      <c r="F13" s="32"/>
      <c r="G13" s="32"/>
      <c r="H13" s="931" t="s">
        <v>567</v>
      </c>
      <c r="I13" s="931"/>
      <c r="J13" s="1074">
        <f>+Charts!Z7</f>
        <v>835000</v>
      </c>
      <c r="K13" s="1075"/>
      <c r="L13" s="927"/>
      <c r="M13" s="32"/>
      <c r="N13" s="928"/>
      <c r="O13" s="32"/>
      <c r="P13" s="32"/>
      <c r="Q13" s="32"/>
      <c r="R13" s="931"/>
      <c r="S13" s="931"/>
      <c r="T13" s="937"/>
      <c r="U13" s="927"/>
      <c r="V13" s="32"/>
      <c r="W13" s="928"/>
      <c r="X13" s="922"/>
      <c r="Y13" s="922"/>
      <c r="Z13" s="32"/>
      <c r="AA13" s="32"/>
      <c r="AB13" s="32"/>
      <c r="AC13" s="938"/>
      <c r="AD13" s="922"/>
      <c r="AE13" s="951" t="str">
        <f>+'MoneyBoard - Balance Sheet'!C83</f>
        <v>Citizens Private Banking Checking</v>
      </c>
      <c r="AF13" s="948"/>
      <c r="AG13" s="972"/>
      <c r="AH13" s="948">
        <f>+'MoneyBoard - Balance Sheet'!D83</f>
        <v>107000</v>
      </c>
      <c r="AI13" s="927"/>
      <c r="AJ13" s="32"/>
      <c r="AK13"/>
      <c r="AM13" s="893">
        <v>44927</v>
      </c>
      <c r="AN13" s="7">
        <f t="shared" si="0"/>
        <v>4246370.6908651879</v>
      </c>
      <c r="AO13" s="170">
        <v>0.05</v>
      </c>
    </row>
    <row r="14" spans="1:41" ht="11.5" customHeight="1">
      <c r="A14" s="32"/>
      <c r="B14" s="928"/>
      <c r="C14" s="32"/>
      <c r="D14" s="32"/>
      <c r="E14" s="32"/>
      <c r="F14" s="32"/>
      <c r="G14" s="32"/>
      <c r="H14" s="931" t="s">
        <v>685</v>
      </c>
      <c r="I14" s="931"/>
      <c r="J14" s="1074">
        <f>+Charts!Z8</f>
        <v>80000</v>
      </c>
      <c r="K14" s="1075"/>
      <c r="L14" s="927"/>
      <c r="M14" s="32"/>
      <c r="N14" s="928"/>
      <c r="O14" s="32"/>
      <c r="P14" s="32"/>
      <c r="Q14" s="32"/>
      <c r="R14" s="931"/>
      <c r="S14" s="931"/>
      <c r="T14" s="937"/>
      <c r="U14" s="927"/>
      <c r="V14" s="32"/>
      <c r="W14" s="928"/>
      <c r="X14" s="922"/>
      <c r="Y14" s="922"/>
      <c r="Z14" s="32"/>
      <c r="AA14" s="32"/>
      <c r="AB14" s="32"/>
      <c r="AC14" s="935"/>
      <c r="AD14" s="935"/>
      <c r="AE14" s="940" t="s">
        <v>705</v>
      </c>
      <c r="AF14" s="950"/>
      <c r="AG14" s="1053">
        <f>+'MoneyBoard - Balance Sheet'!D84</f>
        <v>132050</v>
      </c>
      <c r="AH14" s="1054"/>
      <c r="AI14" s="927"/>
      <c r="AJ14" s="32"/>
      <c r="AK14"/>
      <c r="AM14" s="893">
        <v>45078</v>
      </c>
      <c r="AN14" s="7">
        <f t="shared" si="0"/>
        <v>4331298.1046824921</v>
      </c>
      <c r="AO14" s="170">
        <v>0.02</v>
      </c>
    </row>
    <row r="15" spans="1:41" ht="11.5" customHeight="1">
      <c r="A15" s="32"/>
      <c r="B15" s="928"/>
      <c r="C15" s="32"/>
      <c r="D15" s="32"/>
      <c r="E15" s="32"/>
      <c r="F15" s="32"/>
      <c r="G15" s="32"/>
      <c r="H15" s="931" t="s">
        <v>686</v>
      </c>
      <c r="I15" s="931"/>
      <c r="J15" s="1074">
        <f>+Charts!Z9</f>
        <v>250000</v>
      </c>
      <c r="K15" s="1075"/>
      <c r="L15" s="927"/>
      <c r="M15" s="32"/>
      <c r="N15" s="928"/>
      <c r="O15" s="32"/>
      <c r="P15" s="32"/>
      <c r="Q15" s="32"/>
      <c r="R15" s="931"/>
      <c r="S15" s="931"/>
      <c r="T15" s="937"/>
      <c r="U15" s="927"/>
      <c r="V15" s="32"/>
      <c r="W15" s="928"/>
      <c r="X15" s="922"/>
      <c r="Y15" s="922"/>
      <c r="Z15" s="32"/>
      <c r="AA15" s="32"/>
      <c r="AB15" s="32"/>
      <c r="AC15" s="938"/>
      <c r="AD15" s="938"/>
      <c r="AE15" s="935"/>
      <c r="AF15" s="936"/>
      <c r="AG15" s="936"/>
      <c r="AH15" s="936"/>
      <c r="AI15" s="927"/>
      <c r="AJ15" s="32"/>
      <c r="AK15"/>
      <c r="AM15" s="893">
        <v>45292</v>
      </c>
      <c r="AN15" s="7">
        <f t="shared" si="0"/>
        <v>4374611.0857293168</v>
      </c>
      <c r="AO15" s="170">
        <v>0.01</v>
      </c>
    </row>
    <row r="16" spans="1:41" ht="11.5" customHeight="1">
      <c r="A16" s="32"/>
      <c r="B16" s="928"/>
      <c r="C16" s="32"/>
      <c r="D16" s="32"/>
      <c r="E16" s="32"/>
      <c r="F16" s="32"/>
      <c r="G16" s="32"/>
      <c r="H16" s="939" t="s">
        <v>184</v>
      </c>
      <c r="I16" s="939"/>
      <c r="J16" s="1076">
        <f>+Charts!Z6</f>
        <v>1000000</v>
      </c>
      <c r="K16" s="1077"/>
      <c r="L16" s="927"/>
      <c r="M16" s="32"/>
      <c r="N16" s="928"/>
      <c r="O16" s="32"/>
      <c r="P16" s="32"/>
      <c r="Q16" s="32"/>
      <c r="R16" s="931"/>
      <c r="S16" s="931"/>
      <c r="T16" s="937"/>
      <c r="U16" s="927"/>
      <c r="V16" s="32"/>
      <c r="W16" s="928"/>
      <c r="X16" s="922"/>
      <c r="Y16" s="922"/>
      <c r="Z16" s="32"/>
      <c r="AA16" s="32"/>
      <c r="AB16" s="32"/>
      <c r="AC16" s="935"/>
      <c r="AD16" s="935"/>
      <c r="AE16" s="922"/>
      <c r="AF16" s="936"/>
      <c r="AG16" s="936"/>
      <c r="AH16" s="936"/>
      <c r="AI16" s="927"/>
      <c r="AJ16" s="32"/>
      <c r="AK16"/>
      <c r="AM16" s="893">
        <v>45444</v>
      </c>
      <c r="AN16" s="7">
        <f t="shared" si="0"/>
        <v>4593341.6400157828</v>
      </c>
      <c r="AO16" s="170">
        <v>0.05</v>
      </c>
    </row>
    <row r="17" spans="1:48" ht="11.5" customHeight="1">
      <c r="A17" s="32"/>
      <c r="B17" s="928"/>
      <c r="C17" s="32"/>
      <c r="D17" s="32"/>
      <c r="E17" s="32"/>
      <c r="F17" s="32"/>
      <c r="G17" s="32"/>
      <c r="H17" s="940" t="s">
        <v>31</v>
      </c>
      <c r="I17" s="940"/>
      <c r="J17" s="1078">
        <f ca="1">SUM(J8:K16)</f>
        <v>5996550</v>
      </c>
      <c r="K17" s="1079"/>
      <c r="L17" s="927"/>
      <c r="M17" s="32"/>
      <c r="N17" s="928"/>
      <c r="O17" s="32"/>
      <c r="P17" s="32"/>
      <c r="Q17" s="32"/>
      <c r="R17" s="931"/>
      <c r="S17" s="931"/>
      <c r="T17" s="937"/>
      <c r="U17" s="927"/>
      <c r="V17" s="32"/>
      <c r="W17" s="928"/>
      <c r="X17" s="922"/>
      <c r="Y17" s="922"/>
      <c r="Z17" s="32"/>
      <c r="AA17" s="32"/>
      <c r="AB17" s="32"/>
      <c r="AC17" s="938"/>
      <c r="AD17" s="938"/>
      <c r="AE17" s="922"/>
      <c r="AF17" s="936"/>
      <c r="AG17" s="936"/>
      <c r="AH17" s="936"/>
      <c r="AI17" s="927"/>
      <c r="AJ17" s="32"/>
      <c r="AK17"/>
      <c r="AM17" s="893">
        <v>45658</v>
      </c>
      <c r="AN17" s="7">
        <f>+Charts!S9</f>
        <v>4648383.97</v>
      </c>
    </row>
    <row r="18" spans="1:48" ht="11.5" customHeight="1" thickBot="1">
      <c r="A18" s="32"/>
      <c r="B18" s="941"/>
      <c r="C18" s="942"/>
      <c r="D18" s="942"/>
      <c r="E18" s="942"/>
      <c r="F18" s="942"/>
      <c r="G18" s="942"/>
      <c r="H18" s="942"/>
      <c r="I18" s="942"/>
      <c r="J18" s="942"/>
      <c r="K18" s="942"/>
      <c r="L18" s="943"/>
      <c r="M18" s="32"/>
      <c r="N18" s="941"/>
      <c r="O18" s="942"/>
      <c r="P18" s="942"/>
      <c r="Q18" s="942"/>
      <c r="R18" s="942"/>
      <c r="S18" s="942"/>
      <c r="T18" s="942"/>
      <c r="U18" s="943"/>
      <c r="V18" s="32"/>
      <c r="W18" s="941"/>
      <c r="X18" s="944"/>
      <c r="Y18" s="944"/>
      <c r="Z18" s="942"/>
      <c r="AA18" s="942"/>
      <c r="AB18" s="942"/>
      <c r="AC18" s="945"/>
      <c r="AD18" s="945"/>
      <c r="AE18" s="944"/>
      <c r="AF18" s="946"/>
      <c r="AG18" s="946"/>
      <c r="AH18" s="946"/>
      <c r="AI18" s="943"/>
      <c r="AJ18" s="32"/>
      <c r="AK18"/>
      <c r="AN18" s="7"/>
    </row>
    <row r="19" spans="1:48" ht="11.5" customHeight="1" thickTop="1" thickBot="1">
      <c r="A19" s="32"/>
      <c r="B19" s="32"/>
      <c r="C19" s="32"/>
      <c r="D19" s="32"/>
      <c r="E19" s="32"/>
      <c r="F19" s="32"/>
      <c r="G19" s="32"/>
      <c r="H19" s="32"/>
      <c r="I19" s="32"/>
      <c r="J19" s="32"/>
      <c r="K19" s="32"/>
      <c r="L19" s="32"/>
      <c r="M19" s="32"/>
      <c r="N19" s="32"/>
      <c r="O19" s="32"/>
      <c r="P19" s="32"/>
      <c r="Q19" s="32"/>
      <c r="R19" s="32"/>
      <c r="S19" s="32"/>
      <c r="T19" s="32"/>
      <c r="U19" s="32"/>
      <c r="V19" s="32"/>
      <c r="W19" s="32"/>
      <c r="X19" s="922"/>
      <c r="Y19" s="922"/>
      <c r="Z19" s="32"/>
      <c r="AA19" s="32"/>
      <c r="AB19" s="32"/>
      <c r="AC19" s="32"/>
      <c r="AD19" s="922"/>
      <c r="AE19" s="922"/>
      <c r="AF19" s="922"/>
      <c r="AG19" s="32"/>
      <c r="AH19" s="922"/>
      <c r="AI19" s="32"/>
      <c r="AJ19" s="32"/>
      <c r="AK19"/>
      <c r="AN19" s="7"/>
    </row>
    <row r="20" spans="1:48" ht="11.5" customHeight="1" thickTop="1">
      <c r="A20" s="32"/>
      <c r="B20" s="973"/>
      <c r="C20" s="924"/>
      <c r="D20" s="924"/>
      <c r="E20" s="924"/>
      <c r="F20" s="924"/>
      <c r="G20" s="924"/>
      <c r="H20" s="924"/>
      <c r="I20" s="924"/>
      <c r="J20" s="924"/>
      <c r="K20" s="924"/>
      <c r="L20" s="925"/>
      <c r="M20" s="32"/>
      <c r="N20" s="923"/>
      <c r="O20" s="924"/>
      <c r="P20" s="924"/>
      <c r="Q20" s="924"/>
      <c r="R20" s="924"/>
      <c r="S20" s="924"/>
      <c r="T20" s="924"/>
      <c r="U20" s="924"/>
      <c r="V20" s="924"/>
      <c r="W20" s="924"/>
      <c r="X20" s="926"/>
      <c r="Y20" s="926"/>
      <c r="Z20" s="925"/>
      <c r="AA20" s="32"/>
      <c r="AB20" s="1022"/>
      <c r="AC20" s="1023"/>
      <c r="AD20" s="1023"/>
      <c r="AE20" s="1023"/>
      <c r="AF20" s="1024"/>
      <c r="AG20" s="1024"/>
      <c r="AH20" s="1023"/>
      <c r="AI20" s="1025"/>
      <c r="AJ20" s="32"/>
      <c r="AK20"/>
      <c r="AL20"/>
      <c r="AM20" s="1" t="s">
        <v>702</v>
      </c>
      <c r="AN20" s="7"/>
    </row>
    <row r="21" spans="1:48" ht="11.5" customHeight="1">
      <c r="A21" s="32"/>
      <c r="B21" s="982" t="s">
        <v>712</v>
      </c>
      <c r="C21" s="986"/>
      <c r="D21" s="972"/>
      <c r="E21" s="972"/>
      <c r="F21" s="972"/>
      <c r="G21" s="972"/>
      <c r="H21" s="972"/>
      <c r="I21" s="972"/>
      <c r="J21" s="972"/>
      <c r="K21" s="972"/>
      <c r="L21" s="927"/>
      <c r="M21" s="32"/>
      <c r="N21" s="928"/>
      <c r="O21" s="983" t="s">
        <v>693</v>
      </c>
      <c r="P21" s="972"/>
      <c r="Q21" s="985"/>
      <c r="R21" s="985"/>
      <c r="S21" s="985"/>
      <c r="T21" s="985"/>
      <c r="U21" s="985"/>
      <c r="V21" s="985"/>
      <c r="W21" s="985"/>
      <c r="X21" s="985"/>
      <c r="Y21" s="985"/>
      <c r="Z21" s="927"/>
      <c r="AA21" s="32"/>
      <c r="AB21" s="1026"/>
      <c r="AC21" s="1027" t="s">
        <v>754</v>
      </c>
      <c r="AD21" s="1028"/>
      <c r="AE21" s="1029"/>
      <c r="AF21" s="1029"/>
      <c r="AG21" s="1030"/>
      <c r="AH21" s="1029"/>
      <c r="AI21" s="1031"/>
      <c r="AJ21" s="32"/>
      <c r="AK21"/>
      <c r="AL21"/>
      <c r="AM21" s="893">
        <v>45658</v>
      </c>
      <c r="AN21" s="7">
        <f>+Charts!E43</f>
        <v>-19347.299876359019</v>
      </c>
      <c r="AQ21" s="906"/>
      <c r="AR21" s="906"/>
      <c r="AS21" s="906"/>
      <c r="AT21" s="906"/>
      <c r="AU21" s="906"/>
      <c r="AV21" s="906"/>
    </row>
    <row r="22" spans="1:48" ht="11.5" customHeight="1">
      <c r="A22" s="32"/>
      <c r="B22" s="1082">
        <f ca="1">+Charts!AB148</f>
        <v>2509500</v>
      </c>
      <c r="C22" s="1083"/>
      <c r="D22" s="32"/>
      <c r="E22" s="32"/>
      <c r="F22" s="32"/>
      <c r="G22" s="32"/>
      <c r="H22" s="931" t="s">
        <v>715</v>
      </c>
      <c r="I22" s="931"/>
      <c r="J22" s="931"/>
      <c r="K22" s="974">
        <v>4.3200000000000002E-2</v>
      </c>
      <c r="L22" s="927"/>
      <c r="M22" s="32"/>
      <c r="N22" s="928"/>
      <c r="O22" s="32"/>
      <c r="P22" s="32"/>
      <c r="Q22" s="922"/>
      <c r="R22" s="922"/>
      <c r="S22" s="922"/>
      <c r="T22" s="922"/>
      <c r="U22" s="922"/>
      <c r="V22" s="922"/>
      <c r="W22" s="922"/>
      <c r="X22" s="922"/>
      <c r="Y22" s="922"/>
      <c r="Z22" s="927"/>
      <c r="AA22" s="32"/>
      <c r="AB22" s="1026"/>
      <c r="AC22" s="1055" t="s">
        <v>750</v>
      </c>
      <c r="AD22" s="1055"/>
      <c r="AE22" s="1052" t="s">
        <v>753</v>
      </c>
      <c r="AF22" s="1051"/>
      <c r="AG22" s="1056">
        <v>6.1800000000000001E-2</v>
      </c>
      <c r="AH22" s="1057"/>
      <c r="AI22" s="1032"/>
      <c r="AJ22" s="32"/>
      <c r="AK22"/>
      <c r="AL22"/>
      <c r="AM22" s="893">
        <v>45689</v>
      </c>
      <c r="AN22" s="7">
        <f>+Charts!F43</f>
        <v>-1871.9828559612033</v>
      </c>
      <c r="AP22" s="908">
        <v>45809</v>
      </c>
      <c r="AQ22" s="908">
        <v>45839</v>
      </c>
      <c r="AR22" s="908">
        <v>45870</v>
      </c>
      <c r="AS22" s="908">
        <v>45901</v>
      </c>
      <c r="AT22" s="908">
        <v>45931</v>
      </c>
    </row>
    <row r="23" spans="1:48" ht="11.5" customHeight="1">
      <c r="A23" s="32"/>
      <c r="B23" s="976" t="s">
        <v>714</v>
      </c>
      <c r="C23" s="929"/>
      <c r="D23" s="32"/>
      <c r="E23" s="32"/>
      <c r="F23" s="32"/>
      <c r="G23" s="32"/>
      <c r="H23" s="931" t="s">
        <v>716</v>
      </c>
      <c r="I23" s="931"/>
      <c r="J23" s="931"/>
      <c r="K23" s="974">
        <v>3.8399999999999997E-2</v>
      </c>
      <c r="L23" s="927"/>
      <c r="M23" s="32"/>
      <c r="N23" s="928"/>
      <c r="O23" s="32"/>
      <c r="P23" s="947">
        <v>45658</v>
      </c>
      <c r="Q23" s="947">
        <v>45689</v>
      </c>
      <c r="R23" s="947">
        <v>45717</v>
      </c>
      <c r="S23" s="947">
        <v>45748</v>
      </c>
      <c r="T23" s="947">
        <v>45778</v>
      </c>
      <c r="U23" s="1066" t="s">
        <v>698</v>
      </c>
      <c r="V23" s="1067"/>
      <c r="W23" s="706"/>
      <c r="X23" s="947">
        <v>45962</v>
      </c>
      <c r="Y23" s="947">
        <v>45992</v>
      </c>
      <c r="Z23" s="927"/>
      <c r="AA23" s="32"/>
      <c r="AB23" s="1026"/>
      <c r="AC23" s="1051"/>
      <c r="AD23" s="1051"/>
      <c r="AE23" s="1051"/>
      <c r="AF23" s="1051"/>
      <c r="AG23" s="1051"/>
      <c r="AH23" s="1051"/>
      <c r="AI23" s="1032"/>
      <c r="AJ23" s="32"/>
      <c r="AK23"/>
      <c r="AL23"/>
      <c r="AM23" s="893"/>
      <c r="AN23" s="7"/>
      <c r="AP23" s="901">
        <f>+Charts!J28</f>
        <v>18910.164438749944</v>
      </c>
      <c r="AQ23" s="901">
        <f>+Charts!K28</f>
        <v>18865.289126189757</v>
      </c>
      <c r="AR23" s="901">
        <f>+Charts!L28</f>
        <v>18842.948500637824</v>
      </c>
      <c r="AS23" s="901">
        <f>+Charts!M28</f>
        <v>18838.034097378899</v>
      </c>
      <c r="AT23" s="901">
        <f>+Charts!N28</f>
        <v>18828.48970102708</v>
      </c>
    </row>
    <row r="24" spans="1:48" ht="11.5" customHeight="1">
      <c r="A24" s="32"/>
      <c r="B24" s="928"/>
      <c r="C24" s="32"/>
      <c r="D24" s="32"/>
      <c r="E24" s="32"/>
      <c r="F24" s="32"/>
      <c r="G24" s="32"/>
      <c r="H24" s="32"/>
      <c r="I24" s="32"/>
      <c r="J24" s="32"/>
      <c r="K24" s="32"/>
      <c r="L24" s="927"/>
      <c r="M24" s="32"/>
      <c r="N24" s="928"/>
      <c r="O24" s="922" t="s">
        <v>73</v>
      </c>
      <c r="P24" s="937">
        <f>+Charts!E28</f>
        <v>19092.12012364098</v>
      </c>
      <c r="Q24" s="937">
        <f>+Charts!F28</f>
        <v>19067.437144038788</v>
      </c>
      <c r="R24" s="937">
        <f>+Charts!G28</f>
        <v>19010.764991590117</v>
      </c>
      <c r="S24" s="937">
        <f>+Charts!H28</f>
        <v>18949.216518181405</v>
      </c>
      <c r="T24" s="937">
        <f>+Charts!I28</f>
        <v>18938.665913158478</v>
      </c>
      <c r="U24" s="1068" t="s">
        <v>698</v>
      </c>
      <c r="V24" s="1067"/>
      <c r="W24" s="706"/>
      <c r="X24" s="937">
        <f>+Charts!O28</f>
        <v>18817.565529278854</v>
      </c>
      <c r="Y24" s="937">
        <f ca="1">+Charts!P28</f>
        <v>241147.11328069784</v>
      </c>
      <c r="Z24" s="927"/>
      <c r="AA24" s="32"/>
      <c r="AB24" s="1026"/>
      <c r="AC24" s="1052" t="s">
        <v>752</v>
      </c>
      <c r="AD24" s="1052"/>
      <c r="AE24" s="1052" t="s">
        <v>751</v>
      </c>
      <c r="AF24" s="1051"/>
      <c r="AG24" s="1056">
        <v>5.1799999999999999E-2</v>
      </c>
      <c r="AH24" s="1042"/>
      <c r="AI24" s="1032"/>
      <c r="AJ24" s="32"/>
      <c r="AK24"/>
      <c r="AL24"/>
      <c r="AM24" s="893">
        <v>45717</v>
      </c>
      <c r="AN24" s="7">
        <f>+Charts!G43</f>
        <v>-1928.6550084098744</v>
      </c>
      <c r="AP24" s="894">
        <f>+Charts!J42</f>
        <v>-21939.419999999991</v>
      </c>
      <c r="AQ24" s="894">
        <f>+Charts!K42</f>
        <v>-40439.42</v>
      </c>
      <c r="AR24" s="894">
        <f>+Charts!L42</f>
        <v>-35939.419999999991</v>
      </c>
      <c r="AS24" s="894">
        <f>+Charts!M42</f>
        <v>-20939.419999999991</v>
      </c>
      <c r="AT24" s="894">
        <f>+Charts!N42</f>
        <v>-20939.419999999991</v>
      </c>
    </row>
    <row r="25" spans="1:48" ht="11.5" customHeight="1">
      <c r="A25" s="32"/>
      <c r="B25" s="928"/>
      <c r="C25" s="32"/>
      <c r="D25" s="32"/>
      <c r="E25" s="32"/>
      <c r="F25" s="32"/>
      <c r="G25" s="32"/>
      <c r="H25" s="32"/>
      <c r="I25" s="32"/>
      <c r="J25" s="32"/>
      <c r="K25" s="32"/>
      <c r="L25" s="927"/>
      <c r="M25" s="32"/>
      <c r="N25" s="928"/>
      <c r="O25" s="922" t="s">
        <v>74</v>
      </c>
      <c r="P25" s="937">
        <f>+Charts!E42</f>
        <v>-38439.42</v>
      </c>
      <c r="Q25" s="937">
        <f>+Charts!F42</f>
        <v>-20939.419999999991</v>
      </c>
      <c r="R25" s="937">
        <f>+Charts!G42</f>
        <v>-20939.419999999991</v>
      </c>
      <c r="S25" s="937">
        <f>+Charts!H42</f>
        <v>-65939.42</v>
      </c>
      <c r="T25" s="937">
        <f>+Charts!I42</f>
        <v>-24939.419999999991</v>
      </c>
      <c r="U25" s="1068" t="s">
        <v>698</v>
      </c>
      <c r="V25" s="1067"/>
      <c r="W25" s="706"/>
      <c r="X25" s="937">
        <f>+Charts!O42</f>
        <v>-24939.419999999991</v>
      </c>
      <c r="Y25" s="937">
        <f>+Charts!P42</f>
        <v>-48392.38</v>
      </c>
      <c r="Z25" s="927"/>
      <c r="AA25" s="32"/>
      <c r="AB25" s="1034"/>
      <c r="AC25" s="1051"/>
      <c r="AD25" s="1051"/>
      <c r="AE25" s="1051"/>
      <c r="AF25" s="1051"/>
      <c r="AG25" s="1051"/>
      <c r="AH25" s="1040"/>
      <c r="AI25" s="1031"/>
      <c r="AJ25" s="32"/>
      <c r="AK25"/>
      <c r="AL25"/>
      <c r="AM25" s="893">
        <v>45748</v>
      </c>
      <c r="AN25" s="7">
        <f>+Charts!H43</f>
        <v>-46990.203481818593</v>
      </c>
      <c r="AP25" s="907">
        <f>+SUM(AP23:AP24)</f>
        <v>-3029.2555612500473</v>
      </c>
      <c r="AQ25" s="907">
        <f>+SUM(AQ23:AQ24)</f>
        <v>-21574.130873810242</v>
      </c>
      <c r="AR25" s="907">
        <f>+SUM(AR23:AR24)</f>
        <v>-17096.471499362167</v>
      </c>
      <c r="AS25" s="907">
        <f>+SUM(AS23:AS24)</f>
        <v>-2101.3859026210921</v>
      </c>
      <c r="AT25" s="907">
        <f>+SUM(AT23:AT24)</f>
        <v>-2110.9302989729113</v>
      </c>
    </row>
    <row r="26" spans="1:48" ht="11.5" customHeight="1">
      <c r="A26" s="32"/>
      <c r="B26" s="928"/>
      <c r="C26" s="32"/>
      <c r="D26" s="32"/>
      <c r="E26" s="32"/>
      <c r="F26" s="32"/>
      <c r="G26" s="32"/>
      <c r="H26" s="32"/>
      <c r="I26" s="32"/>
      <c r="J26" s="32"/>
      <c r="K26" s="32"/>
      <c r="L26" s="927"/>
      <c r="M26" s="32"/>
      <c r="N26" s="928"/>
      <c r="O26" s="922" t="s">
        <v>81</v>
      </c>
      <c r="P26" s="937">
        <f>+SUM(P24:P25)</f>
        <v>-19347.299876359019</v>
      </c>
      <c r="Q26" s="937">
        <f t="shared" ref="Q26:T26" si="1">+SUM(Q24:Q25)</f>
        <v>-1871.9828559612033</v>
      </c>
      <c r="R26" s="937">
        <f t="shared" si="1"/>
        <v>-1928.6550084098744</v>
      </c>
      <c r="S26" s="937">
        <f t="shared" si="1"/>
        <v>-46990.203481818593</v>
      </c>
      <c r="T26" s="937">
        <f t="shared" si="1"/>
        <v>-6000.7540868415126</v>
      </c>
      <c r="U26" s="1068" t="s">
        <v>699</v>
      </c>
      <c r="V26" s="1067"/>
      <c r="W26" s="706"/>
      <c r="X26" s="937">
        <f>+SUM(X24:X25)</f>
        <v>-6121.8544707211367</v>
      </c>
      <c r="Y26" s="937">
        <f ca="1">+SUM(Y24:Y25)</f>
        <v>192754.73328069784</v>
      </c>
      <c r="Z26" s="927"/>
      <c r="AA26" s="32"/>
      <c r="AB26" s="1034"/>
      <c r="AC26" s="1035"/>
      <c r="AD26" s="1033"/>
      <c r="AE26" s="1033"/>
      <c r="AF26" s="1033"/>
      <c r="AG26" s="1041"/>
      <c r="AH26" s="1033"/>
      <c r="AI26" s="1031"/>
      <c r="AJ26" s="32"/>
      <c r="AK26"/>
      <c r="AL26"/>
      <c r="AM26" s="893">
        <v>45778</v>
      </c>
      <c r="AN26" s="7">
        <f>+Charts!I43</f>
        <v>-6000.7540868415126</v>
      </c>
    </row>
    <row r="27" spans="1:48" ht="11.5" customHeight="1" thickBot="1">
      <c r="A27" s="32"/>
      <c r="B27" s="928"/>
      <c r="C27" s="32"/>
      <c r="D27" s="32"/>
      <c r="E27" s="32"/>
      <c r="F27" s="32"/>
      <c r="G27" s="32"/>
      <c r="H27" s="981" t="str">
        <f>+Charts!AA139</f>
        <v>US Total Market</v>
      </c>
      <c r="I27" s="32"/>
      <c r="J27" s="32"/>
      <c r="K27" s="937">
        <f ca="1">+Charts!AB139</f>
        <v>779877.58423793013</v>
      </c>
      <c r="L27" s="927"/>
      <c r="M27" s="32"/>
      <c r="N27" s="941"/>
      <c r="O27" s="942"/>
      <c r="P27" s="942"/>
      <c r="Q27" s="942"/>
      <c r="R27" s="944"/>
      <c r="S27" s="944"/>
      <c r="T27" s="944"/>
      <c r="U27" s="944"/>
      <c r="V27" s="944"/>
      <c r="W27" s="944"/>
      <c r="X27" s="944"/>
      <c r="Y27" s="944"/>
      <c r="Z27" s="943"/>
      <c r="AA27" s="32"/>
      <c r="AB27" s="1036"/>
      <c r="AC27" s="1037"/>
      <c r="AD27" s="1037"/>
      <c r="AE27" s="1037"/>
      <c r="AF27" s="1037"/>
      <c r="AG27" s="1038"/>
      <c r="AH27" s="1037"/>
      <c r="AI27" s="1039"/>
      <c r="AJ27" s="32"/>
      <c r="AK27" s="901"/>
      <c r="AL27" s="901"/>
      <c r="AM27" s="893">
        <v>45809</v>
      </c>
      <c r="AN27" s="7">
        <f>+Charts!J43</f>
        <v>-3029.2555612500473</v>
      </c>
    </row>
    <row r="28" spans="1:48" ht="11.5" customHeight="1" thickTop="1" thickBot="1">
      <c r="A28" s="32"/>
      <c r="B28" s="928"/>
      <c r="C28" s="32"/>
      <c r="D28" s="32"/>
      <c r="E28" s="32"/>
      <c r="F28" s="32"/>
      <c r="G28" s="32"/>
      <c r="H28" s="981" t="str">
        <f>+Charts!AA140</f>
        <v>US Large Cap</v>
      </c>
      <c r="I28" s="32"/>
      <c r="J28" s="32"/>
      <c r="K28" s="937">
        <f ca="1">+Charts!AB140</f>
        <v>535000</v>
      </c>
      <c r="L28" s="927"/>
      <c r="M28" s="32"/>
      <c r="N28" s="32"/>
      <c r="O28" s="32"/>
      <c r="P28" s="32"/>
      <c r="Q28" s="922"/>
      <c r="R28" s="922"/>
      <c r="S28" s="922"/>
      <c r="T28" s="922"/>
      <c r="U28" s="922"/>
      <c r="V28" s="922"/>
      <c r="W28" s="922"/>
      <c r="X28" s="922"/>
      <c r="Y28" s="922"/>
      <c r="Z28" s="32"/>
      <c r="AA28" s="32"/>
      <c r="AB28" s="32"/>
      <c r="AC28" s="922"/>
      <c r="AD28" s="922"/>
      <c r="AE28" s="922"/>
      <c r="AF28" s="922"/>
      <c r="AG28" s="32"/>
      <c r="AH28" s="922"/>
      <c r="AI28" s="32"/>
      <c r="AJ28" s="32"/>
      <c r="AK28" s="922"/>
      <c r="AM28" s="893">
        <v>45839</v>
      </c>
      <c r="AN28" s="7">
        <f>+Charts!K43</f>
        <v>-21574.130873810242</v>
      </c>
    </row>
    <row r="29" spans="1:48" ht="11.5" customHeight="1" thickTop="1">
      <c r="A29" s="32"/>
      <c r="B29" s="928"/>
      <c r="C29" s="32"/>
      <c r="D29" s="32"/>
      <c r="E29" s="32"/>
      <c r="F29" s="32"/>
      <c r="G29" s="32"/>
      <c r="H29" s="981" t="str">
        <f>+Charts!AA141</f>
        <v>US Small Cap</v>
      </c>
      <c r="I29" s="32"/>
      <c r="J29" s="32"/>
      <c r="K29" s="937">
        <f ca="1">+Charts!AB141</f>
        <v>323582.23090794199</v>
      </c>
      <c r="L29" s="927"/>
      <c r="M29" s="32"/>
      <c r="N29" s="954"/>
      <c r="O29" s="955"/>
      <c r="P29" s="955"/>
      <c r="Q29" s="956"/>
      <c r="R29" s="956"/>
      <c r="S29" s="956"/>
      <c r="T29" s="956"/>
      <c r="U29" s="956"/>
      <c r="V29" s="956"/>
      <c r="W29" s="956"/>
      <c r="X29" s="956"/>
      <c r="Y29" s="956"/>
      <c r="Z29" s="955"/>
      <c r="AA29" s="955"/>
      <c r="AB29" s="955"/>
      <c r="AC29" s="956"/>
      <c r="AD29" s="956"/>
      <c r="AE29" s="956"/>
      <c r="AF29" s="956"/>
      <c r="AG29" s="955"/>
      <c r="AH29" s="956"/>
      <c r="AI29" s="957"/>
      <c r="AJ29" s="32"/>
      <c r="AK29" s="922"/>
      <c r="AM29" s="893">
        <v>45870</v>
      </c>
      <c r="AN29" s="7">
        <f>+Charts!L43</f>
        <v>-17096.471499362167</v>
      </c>
    </row>
    <row r="30" spans="1:48" ht="11.5" customHeight="1">
      <c r="A30" s="32"/>
      <c r="B30" s="928"/>
      <c r="C30" s="32"/>
      <c r="D30" s="32"/>
      <c r="E30" s="32"/>
      <c r="F30" s="32"/>
      <c r="G30" s="32"/>
      <c r="H30" s="981" t="str">
        <f>+Charts!AA142</f>
        <v>US Dividend / Value</v>
      </c>
      <c r="I30" s="32"/>
      <c r="J30" s="32"/>
      <c r="K30" s="937">
        <f ca="1">+Charts!AB142</f>
        <v>94368.991437834629</v>
      </c>
      <c r="L30" s="927"/>
      <c r="M30" s="32"/>
      <c r="N30" s="958"/>
      <c r="O30" s="990" t="s">
        <v>717</v>
      </c>
      <c r="P30" s="603"/>
      <c r="Q30" s="989"/>
      <c r="R30" s="989"/>
      <c r="S30" s="989"/>
      <c r="T30" s="989"/>
      <c r="U30" s="989"/>
      <c r="V30" s="989"/>
      <c r="W30" s="989"/>
      <c r="X30" s="989"/>
      <c r="Y30" s="989"/>
      <c r="Z30" s="603"/>
      <c r="AA30" s="603"/>
      <c r="AB30" s="603"/>
      <c r="AC30" s="989"/>
      <c r="AD30" s="989"/>
      <c r="AE30" s="989"/>
      <c r="AF30" s="989"/>
      <c r="AG30" s="603"/>
      <c r="AH30" s="989"/>
      <c r="AI30" s="960"/>
      <c r="AJ30" s="32"/>
      <c r="AK30" s="922"/>
      <c r="AM30" s="893">
        <v>45901</v>
      </c>
      <c r="AN30" s="7">
        <f>+Charts!M43</f>
        <v>-2101.3859026210921</v>
      </c>
    </row>
    <row r="31" spans="1:48" ht="11.5" customHeight="1">
      <c r="A31" s="32"/>
      <c r="B31" s="928"/>
      <c r="C31" s="32"/>
      <c r="D31" s="32"/>
      <c r="E31" s="32"/>
      <c r="F31" s="32"/>
      <c r="G31" s="32"/>
      <c r="H31" s="32"/>
      <c r="I31" s="32"/>
      <c r="J31" s="32"/>
      <c r="K31" s="32"/>
      <c r="L31" s="927"/>
      <c r="M31" s="32"/>
      <c r="N31" s="958"/>
      <c r="O31" s="959" t="s">
        <v>719</v>
      </c>
      <c r="P31" s="600"/>
      <c r="Q31" s="912"/>
      <c r="R31" s="912"/>
      <c r="S31" s="912"/>
      <c r="T31" s="912"/>
      <c r="U31" s="912"/>
      <c r="V31" s="912"/>
      <c r="W31" s="912"/>
      <c r="X31" s="959" t="s">
        <v>720</v>
      </c>
      <c r="Y31" s="912"/>
      <c r="Z31" s="600"/>
      <c r="AA31" s="600"/>
      <c r="AB31" s="600"/>
      <c r="AC31" s="912"/>
      <c r="AD31" s="912"/>
      <c r="AE31" s="912"/>
      <c r="AF31" s="912"/>
      <c r="AG31" s="600"/>
      <c r="AH31" s="912"/>
      <c r="AI31" s="960"/>
      <c r="AJ31" s="32"/>
      <c r="AK31" s="922"/>
      <c r="AM31" s="893">
        <v>45931</v>
      </c>
      <c r="AN31" s="7">
        <f>+Charts!N43</f>
        <v>-2110.9302989729113</v>
      </c>
    </row>
    <row r="32" spans="1:48" ht="11.5" customHeight="1">
      <c r="A32" s="32"/>
      <c r="B32" s="928"/>
      <c r="C32" s="32"/>
      <c r="D32" s="32"/>
      <c r="E32" s="32"/>
      <c r="F32" s="32"/>
      <c r="G32" s="32"/>
      <c r="H32" s="32"/>
      <c r="I32" s="32"/>
      <c r="J32" s="32"/>
      <c r="K32" s="32"/>
      <c r="L32" s="927"/>
      <c r="M32" s="32"/>
      <c r="N32" s="958"/>
      <c r="O32" s="961" t="str">
        <f>+'MoneyBoard - Key Metrics'!A10</f>
        <v>Cash Excess/Deficit Positon</v>
      </c>
      <c r="P32" s="961"/>
      <c r="Q32" s="961"/>
      <c r="R32" s="961"/>
      <c r="S32" s="961"/>
      <c r="T32" s="1071">
        <f ca="1">+'MoneyBoard - Key Metrics'!C10</f>
        <v>162684.07482082304</v>
      </c>
      <c r="U32" s="1072"/>
      <c r="V32" s="1072"/>
      <c r="W32" s="961"/>
      <c r="X32" s="961" t="str">
        <f>+'MoneyBoard - Key Metrics'!A15</f>
        <v>Total Cash You Should Invest Today (A+B):</v>
      </c>
      <c r="Y32" s="961"/>
      <c r="Z32" s="961"/>
      <c r="AA32" s="961"/>
      <c r="AB32" s="961"/>
      <c r="AC32" s="961"/>
      <c r="AD32" s="961"/>
      <c r="AE32" s="1071">
        <f ca="1">+'MoneyBoard - Key Metrics'!C15</f>
        <v>385649.50786958868</v>
      </c>
      <c r="AF32" s="1072"/>
      <c r="AG32" s="962"/>
      <c r="AH32" s="963"/>
      <c r="AI32" s="960"/>
      <c r="AJ32" s="32"/>
      <c r="AK32" s="922"/>
      <c r="AM32" s="893">
        <v>45962</v>
      </c>
      <c r="AN32" s="7">
        <f>+Charts!O43</f>
        <v>-6121.8544707211367</v>
      </c>
    </row>
    <row r="33" spans="1:40" ht="11.5" customHeight="1">
      <c r="A33" s="32"/>
      <c r="B33" s="928"/>
      <c r="C33" s="32"/>
      <c r="D33" s="32"/>
      <c r="E33" s="32"/>
      <c r="F33" s="32"/>
      <c r="G33" s="32"/>
      <c r="H33" s="32"/>
      <c r="I33" s="32"/>
      <c r="J33" s="32"/>
      <c r="K33" s="32"/>
      <c r="L33" s="927"/>
      <c r="M33" s="32"/>
      <c r="N33" s="958"/>
      <c r="O33" s="961" t="str">
        <f>+'MoneyBoard - Key Metrics'!A11</f>
        <v>Identified Additional Cash Income / Year</v>
      </c>
      <c r="P33" s="961"/>
      <c r="Q33" s="961"/>
      <c r="R33" s="961"/>
      <c r="S33" s="961"/>
      <c r="T33" s="1071">
        <f ca="1">+'MoneyBoard - Key Metrics'!C11</f>
        <v>7207.4340319807234</v>
      </c>
      <c r="U33" s="1072"/>
      <c r="V33" s="1072"/>
      <c r="W33" s="961"/>
      <c r="X33" s="912"/>
      <c r="Y33" s="912"/>
      <c r="Z33" s="600"/>
      <c r="AA33" s="600"/>
      <c r="AB33" s="600"/>
      <c r="AC33" s="912"/>
      <c r="AD33" s="912"/>
      <c r="AE33" s="912"/>
      <c r="AF33" s="964" t="str">
        <f ca="1">+'MoneyBoard - Key Metrics'!D15</f>
        <v>15% increase to investments</v>
      </c>
      <c r="AG33" s="963"/>
      <c r="AH33" s="963"/>
      <c r="AI33" s="960"/>
      <c r="AJ33" s="32"/>
      <c r="AK33" s="922"/>
      <c r="AM33" s="893">
        <v>45992</v>
      </c>
      <c r="AN33" s="7">
        <f ca="1">+Charts!P43</f>
        <v>192754.73328069784</v>
      </c>
    </row>
    <row r="34" spans="1:40" ht="11.5" customHeight="1">
      <c r="A34" s="32"/>
      <c r="B34" s="928"/>
      <c r="C34" s="32"/>
      <c r="D34" s="32"/>
      <c r="E34" s="32"/>
      <c r="F34" s="32"/>
      <c r="G34" s="32"/>
      <c r="H34" s="32"/>
      <c r="I34" s="32"/>
      <c r="J34" s="32"/>
      <c r="K34" s="32"/>
      <c r="L34" s="927"/>
      <c r="M34" s="32"/>
      <c r="N34" s="958"/>
      <c r="O34" s="961"/>
      <c r="P34" s="961"/>
      <c r="Q34" s="912"/>
      <c r="R34" s="965"/>
      <c r="S34" s="965"/>
      <c r="T34" s="965"/>
      <c r="U34" s="965"/>
      <c r="V34" s="964" t="str">
        <f ca="1">+'MoneyBoard - Key Metrics'!D11</f>
        <v>11% increase to your cash flow</v>
      </c>
      <c r="W34" s="961"/>
      <c r="X34" s="963" t="str">
        <f>+'MoneyBoard - Key Metrics'!A13</f>
        <v>A: Cash in Investment Accounts to be Deployed</v>
      </c>
      <c r="Y34" s="961"/>
      <c r="Z34" s="961"/>
      <c r="AA34" s="961"/>
      <c r="AB34" s="961"/>
      <c r="AC34" s="961"/>
      <c r="AD34" s="961"/>
      <c r="AE34" s="1069">
        <f ca="1">+'MoneyBoard - Key Metrics'!C13</f>
        <v>222965.43304876564</v>
      </c>
      <c r="AF34" s="1070"/>
      <c r="AG34" s="963"/>
      <c r="AH34" s="912"/>
      <c r="AI34" s="960"/>
      <c r="AJ34" s="32"/>
      <c r="AK34" s="922"/>
      <c r="AM34" s="893"/>
      <c r="AN34" s="7"/>
    </row>
    <row r="35" spans="1:40" ht="11.5" customHeight="1">
      <c r="A35" s="32"/>
      <c r="B35" s="928"/>
      <c r="C35" s="32"/>
      <c r="D35" s="32"/>
      <c r="E35" s="32"/>
      <c r="F35" s="32"/>
      <c r="G35" s="32"/>
      <c r="H35" s="32"/>
      <c r="I35" s="32"/>
      <c r="J35" s="32"/>
      <c r="K35" s="32"/>
      <c r="L35" s="927"/>
      <c r="M35" s="32"/>
      <c r="N35" s="958"/>
      <c r="O35" s="961"/>
      <c r="P35" s="961"/>
      <c r="Q35" s="961"/>
      <c r="R35" s="961"/>
      <c r="S35" s="961"/>
      <c r="T35" s="961"/>
      <c r="U35" s="961"/>
      <c r="V35" s="961"/>
      <c r="W35" s="961"/>
      <c r="X35" s="963" t="str">
        <f>+'MoneyBoard - Key Metrics'!A14</f>
        <v>B: Excess cash to be reallocate to investments</v>
      </c>
      <c r="Y35" s="961"/>
      <c r="Z35" s="961"/>
      <c r="AA35" s="961"/>
      <c r="AB35" s="961"/>
      <c r="AC35" s="961"/>
      <c r="AD35" s="961"/>
      <c r="AE35" s="1069">
        <f ca="1">+'MoneyBoard - Key Metrics'!C14</f>
        <v>162684.07482082304</v>
      </c>
      <c r="AF35" s="1070"/>
      <c r="AG35" s="600"/>
      <c r="AH35" s="912"/>
      <c r="AI35" s="960"/>
      <c r="AJ35" s="32"/>
      <c r="AK35" s="922"/>
      <c r="AN35" s="7"/>
    </row>
    <row r="36" spans="1:40" ht="11.5" customHeight="1" thickBot="1">
      <c r="A36" s="32"/>
      <c r="B36" s="941"/>
      <c r="C36" s="942"/>
      <c r="D36" s="942"/>
      <c r="E36" s="942"/>
      <c r="F36" s="942"/>
      <c r="G36" s="942"/>
      <c r="H36" s="942"/>
      <c r="I36" s="942"/>
      <c r="J36" s="942"/>
      <c r="K36" s="942"/>
      <c r="L36" s="943"/>
      <c r="M36" s="32"/>
      <c r="N36" s="966"/>
      <c r="O36" s="970" t="s">
        <v>721</v>
      </c>
      <c r="P36" s="967"/>
      <c r="Q36" s="968"/>
      <c r="R36" s="968"/>
      <c r="S36" s="968"/>
      <c r="T36" s="968"/>
      <c r="U36" s="968"/>
      <c r="V36" s="968"/>
      <c r="W36" s="968"/>
      <c r="X36" s="970" t="s">
        <v>721</v>
      </c>
      <c r="Y36" s="968"/>
      <c r="Z36" s="967"/>
      <c r="AA36" s="967"/>
      <c r="AB36" s="967"/>
      <c r="AC36" s="968"/>
      <c r="AD36" s="968"/>
      <c r="AE36" s="968"/>
      <c r="AF36" s="968"/>
      <c r="AG36" s="967"/>
      <c r="AH36" s="968"/>
      <c r="AI36" s="969"/>
      <c r="AJ36" s="32"/>
      <c r="AK36" s="922"/>
      <c r="AM36" s="1" t="s">
        <v>701</v>
      </c>
      <c r="AN36" s="7"/>
    </row>
    <row r="37" spans="1:40" ht="11.5" customHeight="1" thickTop="1">
      <c r="A37" s="32"/>
      <c r="B37" s="32"/>
      <c r="C37" s="32"/>
      <c r="D37" s="32"/>
      <c r="E37" s="32"/>
      <c r="F37" s="32"/>
      <c r="G37" s="32"/>
      <c r="H37" s="32"/>
      <c r="I37" s="32"/>
      <c r="J37" s="32"/>
      <c r="K37" s="32"/>
      <c r="L37" s="32"/>
      <c r="M37" s="32"/>
      <c r="N37" s="32"/>
      <c r="O37" s="32"/>
      <c r="P37" s="32"/>
      <c r="Q37" s="922"/>
      <c r="R37" s="922"/>
      <c r="S37" s="922"/>
      <c r="T37" s="922"/>
      <c r="U37" s="922"/>
      <c r="V37" s="922"/>
      <c r="W37" s="922"/>
      <c r="X37" s="922"/>
      <c r="Y37" s="922"/>
      <c r="Z37" s="32"/>
      <c r="AA37" s="32"/>
      <c r="AB37" s="32"/>
      <c r="AC37" s="922"/>
      <c r="AD37" s="922"/>
      <c r="AE37" s="922"/>
      <c r="AF37" s="922"/>
      <c r="AG37" s="32"/>
      <c r="AH37" s="922"/>
      <c r="AI37" s="32"/>
      <c r="AJ37" s="32"/>
      <c r="AK37" s="922"/>
      <c r="AN37" s="7"/>
    </row>
    <row r="38" spans="1:40" ht="11.5" customHeight="1">
      <c r="A38" s="32"/>
      <c r="B38" s="32"/>
      <c r="C38" s="32"/>
      <c r="D38" s="32"/>
      <c r="E38" s="32"/>
      <c r="F38" s="32"/>
      <c r="G38" s="32"/>
      <c r="H38" s="32"/>
      <c r="I38" s="32"/>
      <c r="J38" s="32"/>
      <c r="K38" s="32"/>
      <c r="L38" s="32"/>
      <c r="M38" s="32"/>
      <c r="N38" s="32"/>
      <c r="O38" s="32"/>
      <c r="P38" s="32"/>
      <c r="Q38" s="922"/>
      <c r="R38" s="922"/>
      <c r="S38" s="922"/>
      <c r="T38" s="922"/>
      <c r="U38" s="922"/>
      <c r="V38" s="922"/>
      <c r="W38" s="922"/>
      <c r="X38" s="922"/>
      <c r="Y38" s="922"/>
      <c r="Z38" s="32"/>
      <c r="AA38" s="32"/>
      <c r="AB38" s="32"/>
      <c r="AC38" s="922"/>
      <c r="AD38" s="922"/>
      <c r="AE38" s="922"/>
      <c r="AF38" s="922"/>
      <c r="AG38" s="32"/>
      <c r="AH38" s="922"/>
      <c r="AI38" s="32"/>
      <c r="AJ38" s="32"/>
      <c r="AM38" s="893">
        <v>45658</v>
      </c>
      <c r="AN38" s="7">
        <f>+Charts!E47</f>
        <v>-19347.299876359019</v>
      </c>
    </row>
    <row r="39" spans="1:40" ht="11.5" customHeight="1">
      <c r="AM39" s="893">
        <v>45689</v>
      </c>
      <c r="AN39" s="7">
        <f>+Charts!F47</f>
        <v>-21219.282732320222</v>
      </c>
    </row>
    <row r="40" spans="1:40" ht="11.5" customHeight="1">
      <c r="AM40" s="893"/>
      <c r="AN40" s="7"/>
    </row>
    <row r="41" spans="1:40" ht="11.5" customHeight="1" thickBot="1">
      <c r="AM41" s="893">
        <v>45717</v>
      </c>
      <c r="AN41" s="7">
        <f>+Charts!G47</f>
        <v>-23147.937740730096</v>
      </c>
    </row>
    <row r="42" spans="1:40" ht="11.5" customHeight="1" thickTop="1">
      <c r="AB42" s="923"/>
      <c r="AC42" s="926"/>
      <c r="AD42" s="926"/>
      <c r="AE42" s="926"/>
      <c r="AF42" s="924"/>
      <c r="AG42" s="924"/>
      <c r="AH42" s="926"/>
      <c r="AI42" s="925"/>
      <c r="AM42" s="893">
        <v>45748</v>
      </c>
      <c r="AN42" s="7">
        <f>+Charts!H47</f>
        <v>-70138.141222548686</v>
      </c>
    </row>
    <row r="43" spans="1:40" ht="11.5" customHeight="1">
      <c r="AB43" s="928"/>
      <c r="AC43" s="984" t="s">
        <v>711</v>
      </c>
      <c r="AD43" s="987"/>
      <c r="AE43" s="985"/>
      <c r="AF43" s="985"/>
      <c r="AG43" s="988"/>
      <c r="AH43" s="985"/>
      <c r="AI43" s="927"/>
      <c r="AM43" s="893">
        <v>45778</v>
      </c>
      <c r="AN43" s="7">
        <f>+Charts!I47</f>
        <v>-76138.895309390195</v>
      </c>
    </row>
    <row r="44" spans="1:40" ht="11.5" customHeight="1">
      <c r="AB44" s="928"/>
      <c r="AC44" s="247" t="s">
        <v>700</v>
      </c>
      <c r="AD44" s="247"/>
      <c r="AE44" s="1062">
        <f ca="1">+OPTIMIZER!G26</f>
        <v>194041.71121010487</v>
      </c>
      <c r="AF44" s="1063"/>
      <c r="AG44" s="1064">
        <f ca="1">+AE44/'Rent vs. Buy'!C17</f>
        <v>0.53917324500046504</v>
      </c>
      <c r="AH44" s="1065"/>
      <c r="AI44" s="975"/>
      <c r="AM44" s="893">
        <v>45809</v>
      </c>
      <c r="AN44" s="7">
        <f>+Charts!J47</f>
        <v>-79168.150870640238</v>
      </c>
    </row>
    <row r="45" spans="1:40" ht="11.5" customHeight="1">
      <c r="AB45" s="928"/>
      <c r="AC45" s="977" t="s">
        <v>707</v>
      </c>
      <c r="AD45" s="931"/>
      <c r="AE45" s="978"/>
      <c r="AF45" s="1060" t="s">
        <v>708</v>
      </c>
      <c r="AG45" s="1061"/>
      <c r="AH45" s="1061"/>
      <c r="AI45" s="975"/>
      <c r="AM45" s="893">
        <v>45839</v>
      </c>
      <c r="AN45" s="7">
        <f>+Charts!K47</f>
        <v>-100742.28174445048</v>
      </c>
    </row>
    <row r="46" spans="1:40" ht="11.5" customHeight="1">
      <c r="AB46" s="928"/>
      <c r="AC46" s="922"/>
      <c r="AD46" s="922"/>
      <c r="AE46" s="922"/>
      <c r="AF46" s="1061"/>
      <c r="AG46" s="1061"/>
      <c r="AH46" s="1061"/>
      <c r="AI46" s="975"/>
      <c r="AM46" s="893">
        <v>45870</v>
      </c>
      <c r="AN46" s="7">
        <f>+Charts!L47</f>
        <v>-117838.75324381265</v>
      </c>
    </row>
    <row r="47" spans="1:40" ht="11.5" customHeight="1">
      <c r="AB47" s="979"/>
      <c r="AC47" s="937" t="s">
        <v>709</v>
      </c>
      <c r="AD47" s="922"/>
      <c r="AE47" s="922"/>
      <c r="AF47" s="922"/>
      <c r="AG47" s="32"/>
      <c r="AH47" s="980">
        <f>+'Rent vs. Buy'!C17</f>
        <v>359887.5</v>
      </c>
      <c r="AI47" s="927"/>
      <c r="AM47" s="893">
        <v>45901</v>
      </c>
      <c r="AN47" s="7">
        <f>+Charts!M47</f>
        <v>-119940.13914643374</v>
      </c>
    </row>
    <row r="48" spans="1:40" ht="11.5" customHeight="1">
      <c r="AB48" s="979"/>
      <c r="AC48" s="937" t="s">
        <v>710</v>
      </c>
      <c r="AD48" s="931"/>
      <c r="AE48" s="931"/>
      <c r="AF48" s="931"/>
      <c r="AG48" s="1058">
        <v>46753</v>
      </c>
      <c r="AH48" s="1059"/>
      <c r="AI48" s="927"/>
      <c r="AM48" s="893">
        <v>45931</v>
      </c>
      <c r="AN48" s="7">
        <f>+Charts!N47</f>
        <v>-122051.06944540664</v>
      </c>
    </row>
    <row r="49" spans="2:41" ht="11.5" customHeight="1" thickBot="1">
      <c r="AB49" s="941"/>
      <c r="AC49" s="944"/>
      <c r="AD49" s="944"/>
      <c r="AE49" s="944"/>
      <c r="AF49" s="944"/>
      <c r="AG49" s="942"/>
      <c r="AH49" s="944"/>
      <c r="AI49" s="943"/>
      <c r="AM49" s="893">
        <v>45962</v>
      </c>
      <c r="AN49" s="7">
        <f>+Charts!O47</f>
        <v>-128172.92391612778</v>
      </c>
    </row>
    <row r="50" spans="2:41" ht="11.5" customHeight="1" thickTop="1">
      <c r="AM50" s="893">
        <v>45992</v>
      </c>
      <c r="AN50" s="7">
        <f ca="1">+Charts!P47</f>
        <v>66338.315515958049</v>
      </c>
    </row>
    <row r="51" spans="2:41" ht="11.5" customHeight="1">
      <c r="AM51" s="893"/>
      <c r="AN51" s="7"/>
    </row>
    <row r="52" spans="2:41" ht="11.5" customHeight="1">
      <c r="AM52" s="1" t="s">
        <v>703</v>
      </c>
      <c r="AN52" s="7"/>
    </row>
    <row r="53" spans="2:41" ht="11.5" customHeight="1">
      <c r="AM53" t="s">
        <v>747</v>
      </c>
      <c r="AN53" s="7">
        <f>+OPTIMIZER!G24</f>
        <v>20939.419999999991</v>
      </c>
    </row>
    <row r="54" spans="2:41" ht="11.5" customHeight="1">
      <c r="AM54" t="s">
        <v>748</v>
      </c>
      <c r="AN54" s="7">
        <f>+OPTIMIZER!G25</f>
        <v>129384.79396907208</v>
      </c>
    </row>
    <row r="55" spans="2:41" ht="11.5" customHeight="1">
      <c r="AM55" t="s">
        <v>749</v>
      </c>
      <c r="AN55" s="7">
        <f ca="1">+OPTIMIZER!G26</f>
        <v>194041.71121010487</v>
      </c>
    </row>
    <row r="56" spans="2:41" ht="11.5" customHeight="1" thickBot="1">
      <c r="AM56" t="s">
        <v>291</v>
      </c>
      <c r="AN56" s="7">
        <f ca="1">+OPTIMIZER!G27</f>
        <v>2672184.074820823</v>
      </c>
    </row>
    <row r="57" spans="2:41" ht="11.5" customHeight="1" thickTop="1">
      <c r="B57" s="895"/>
      <c r="C57" s="896"/>
      <c r="D57" s="896"/>
      <c r="E57" s="896"/>
      <c r="F57" s="896"/>
      <c r="G57" s="896"/>
      <c r="H57" s="896"/>
      <c r="I57" s="896"/>
      <c r="J57" s="896"/>
      <c r="K57" s="896"/>
      <c r="L57" s="897"/>
      <c r="N57" s="895"/>
      <c r="O57" s="917"/>
      <c r="P57" s="917"/>
      <c r="Q57" s="917"/>
      <c r="R57" s="896"/>
      <c r="S57" s="917"/>
      <c r="T57" s="917"/>
      <c r="U57" s="897"/>
      <c r="AM57" t="s">
        <v>580</v>
      </c>
      <c r="AN57" s="7">
        <f>+OPTIMIZER!G28</f>
        <v>2980000</v>
      </c>
    </row>
    <row r="58" spans="2:41" ht="11.5" customHeight="1">
      <c r="B58" s="905" t="s">
        <v>688</v>
      </c>
      <c r="L58" s="898"/>
      <c r="N58" s="899"/>
      <c r="O58" s="916" t="s">
        <v>694</v>
      </c>
      <c r="P58" s="906"/>
      <c r="R58"/>
      <c r="U58" s="898"/>
    </row>
    <row r="59" spans="2:41" ht="11.5" customHeight="1">
      <c r="B59" s="1080">
        <f ca="1">+Charts!Q43</f>
        <v>66338.315515958049</v>
      </c>
      <c r="C59" s="1081"/>
      <c r="D59" s="2"/>
      <c r="E59" s="2"/>
      <c r="F59" t="s">
        <v>689</v>
      </c>
      <c r="L59" s="898"/>
      <c r="N59" s="899"/>
      <c r="O59" s="919" t="s">
        <v>695</v>
      </c>
      <c r="P59" s="906"/>
      <c r="R59"/>
      <c r="U59" s="898"/>
      <c r="AM59" s="1" t="s">
        <v>713</v>
      </c>
    </row>
    <row r="60" spans="2:41" ht="11.5" customHeight="1">
      <c r="B60" s="899"/>
      <c r="H60" s="900"/>
      <c r="I60" s="900"/>
      <c r="J60" s="900"/>
      <c r="K60" s="900"/>
      <c r="L60" s="898"/>
      <c r="N60" s="899"/>
      <c r="O60" s="906" t="s">
        <v>692</v>
      </c>
      <c r="P60" s="906"/>
      <c r="T60" s="952">
        <f>-'MoneyBoard - Key Metrics'!$C$6</f>
        <v>129384.79396907208</v>
      </c>
      <c r="U60" s="898"/>
      <c r="AM60" t="str">
        <f>+Charts!AA137</f>
        <v>Cash</v>
      </c>
      <c r="AN60" s="7">
        <f ca="1">+Charts!AB137</f>
        <v>222965.43304876564</v>
      </c>
      <c r="AO60" s="7">
        <f ca="1">+Charts!AL137</f>
        <v>0</v>
      </c>
    </row>
    <row r="61" spans="2:41" ht="11.5" customHeight="1">
      <c r="B61" s="899"/>
      <c r="L61" s="898"/>
      <c r="N61" s="899"/>
      <c r="O61" s="906" t="s">
        <v>696</v>
      </c>
      <c r="P61" s="906"/>
      <c r="T61" s="953">
        <f ca="1">+T62+T66+T68+T70+T72</f>
        <v>344365.92517917691</v>
      </c>
      <c r="U61" s="898"/>
      <c r="Y61"/>
      <c r="AC61"/>
      <c r="AD61"/>
      <c r="AE61"/>
      <c r="AF61"/>
      <c r="AH61"/>
      <c r="AM61" t="str">
        <f>+Charts!AA138</f>
        <v>International</v>
      </c>
      <c r="AN61" s="7">
        <f ca="1">+Charts!AB138</f>
        <v>244684.55087427894</v>
      </c>
      <c r="AO61" s="7">
        <f ca="1">+Charts!AL138</f>
        <v>316538.30066575774</v>
      </c>
    </row>
    <row r="62" spans="2:41" ht="11.5" customHeight="1">
      <c r="B62" s="899"/>
      <c r="H62" s="900"/>
      <c r="I62" s="900"/>
      <c r="J62" s="900"/>
      <c r="K62" s="901"/>
      <c r="L62" s="898"/>
      <c r="M62" s="899"/>
      <c r="N62" s="899"/>
      <c r="O62" s="911" t="s">
        <v>697</v>
      </c>
      <c r="P62" s="911"/>
      <c r="Q62" s="912"/>
      <c r="R62" s="913"/>
      <c r="S62" s="913"/>
      <c r="T62" s="913">
        <f>SUM(T63:T64)</f>
        <v>150324.21396907207</v>
      </c>
      <c r="U62" s="898"/>
      <c r="Y62"/>
      <c r="AC62"/>
      <c r="AD62"/>
      <c r="AE62"/>
      <c r="AF62"/>
      <c r="AH62"/>
      <c r="AJ62" s="899"/>
      <c r="AM62" t="s">
        <v>173</v>
      </c>
      <c r="AN62" s="7">
        <f ca="1">+Charts!AB159</f>
        <v>1732828.8065837068</v>
      </c>
      <c r="AO62" s="7">
        <f>+Charts!AF159</f>
        <v>699999.99999999988</v>
      </c>
    </row>
    <row r="63" spans="2:41" ht="11.5" customHeight="1">
      <c r="B63" s="899"/>
      <c r="H63" s="900"/>
      <c r="I63" s="900"/>
      <c r="J63" s="900"/>
      <c r="K63" s="901"/>
      <c r="L63" s="898"/>
      <c r="N63" s="899"/>
      <c r="O63" s="909" t="s">
        <v>683</v>
      </c>
      <c r="P63" s="909"/>
      <c r="R63" s="910"/>
      <c r="S63" s="910"/>
      <c r="T63" s="910">
        <f>+J8</f>
        <v>20939.419999999991</v>
      </c>
      <c r="U63" s="898"/>
      <c r="Y63"/>
      <c r="AC63"/>
      <c r="AD63"/>
      <c r="AE63"/>
      <c r="AF63"/>
      <c r="AH63"/>
      <c r="AM63" t="str">
        <f>+Charts!AA143</f>
        <v>Meta</v>
      </c>
      <c r="AN63" s="7">
        <f ca="1">+Charts!AB143</f>
        <v>238311.4339918312</v>
      </c>
      <c r="AO63" s="7">
        <f ca="1">+Charts!AL150</f>
        <v>238311.4339918312</v>
      </c>
    </row>
    <row r="64" spans="2:41" ht="11.5" customHeight="1">
      <c r="B64" s="899"/>
      <c r="H64" s="900"/>
      <c r="I64" s="900"/>
      <c r="J64" s="900"/>
      <c r="K64" s="901"/>
      <c r="L64" s="898"/>
      <c r="N64" s="899"/>
      <c r="O64" s="909" t="s">
        <v>684</v>
      </c>
      <c r="P64" s="909"/>
      <c r="R64" s="910"/>
      <c r="S64" s="910"/>
      <c r="T64" s="910">
        <f>+J9</f>
        <v>129384.79396907208</v>
      </c>
      <c r="U64" s="898"/>
      <c r="AM64" t="str">
        <f>+Charts!AA145</f>
        <v>Crypto</v>
      </c>
      <c r="AN64" s="7">
        <f ca="1">+Charts!AB145</f>
        <v>9500</v>
      </c>
      <c r="AO64" s="7">
        <f ca="1">+Charts!AL147</f>
        <v>9500</v>
      </c>
    </row>
    <row r="65" spans="2:41" ht="11.5" customHeight="1">
      <c r="B65" s="899"/>
      <c r="H65" s="900"/>
      <c r="I65" s="900"/>
      <c r="J65" s="900"/>
      <c r="K65" s="901"/>
      <c r="L65" s="898"/>
      <c r="N65" s="899"/>
      <c r="O65" s="914">
        <v>45717</v>
      </c>
      <c r="P65" s="914"/>
      <c r="Q65" s="912"/>
      <c r="R65" s="912"/>
      <c r="S65" s="912"/>
      <c r="T65" s="912"/>
      <c r="U65" s="898"/>
      <c r="AM65" t="str">
        <f>+Charts!AA146</f>
        <v>Bonds</v>
      </c>
      <c r="AN65" s="7">
        <f ca="1">+Charts!AB146</f>
        <v>61209.775501417389</v>
      </c>
      <c r="AO65" s="7">
        <f ca="1">+Charts!AL148</f>
        <v>301900</v>
      </c>
    </row>
    <row r="66" spans="2:41" ht="11.5" customHeight="1">
      <c r="B66" s="899"/>
      <c r="H66" s="900"/>
      <c r="I66" s="900"/>
      <c r="J66" s="900"/>
      <c r="K66" s="901"/>
      <c r="L66" s="898"/>
      <c r="N66" s="899"/>
      <c r="O66" s="909" t="s">
        <v>691</v>
      </c>
      <c r="P66" s="909"/>
      <c r="R66" s="910"/>
      <c r="S66" s="910"/>
      <c r="T66" s="910">
        <f ca="1">+$J$10*0.3</f>
        <v>58212.513363031459</v>
      </c>
      <c r="U66" s="898"/>
      <c r="AM66" t="str">
        <f>+Charts!AA147</f>
        <v>REITS, Commodities</v>
      </c>
      <c r="AN66" s="7">
        <f ca="1">+Charts!AB147</f>
        <v>0</v>
      </c>
      <c r="AO66" s="7">
        <f ca="1">+Charts!AL149</f>
        <v>100000</v>
      </c>
    </row>
    <row r="67" spans="2:41" ht="11.5" customHeight="1">
      <c r="B67" s="899"/>
      <c r="H67" s="900"/>
      <c r="I67" s="900"/>
      <c r="J67" s="900"/>
      <c r="K67" s="901"/>
      <c r="L67" s="898"/>
      <c r="N67" s="899"/>
      <c r="O67" s="914">
        <v>45809</v>
      </c>
      <c r="P67" s="914"/>
      <c r="Q67" s="912"/>
      <c r="R67" s="915"/>
      <c r="S67" s="915"/>
      <c r="T67" s="915"/>
      <c r="U67" s="898"/>
      <c r="AN67" s="7">
        <f ca="1">SUM(AN60:AN66)</f>
        <v>2509500</v>
      </c>
      <c r="AO67" s="7">
        <f ca="1">SUM(AO60:AO66)</f>
        <v>1666249.7346575889</v>
      </c>
    </row>
    <row r="68" spans="2:41" ht="11.5" customHeight="1">
      <c r="B68" s="899"/>
      <c r="H68" s="900"/>
      <c r="I68" s="900"/>
      <c r="J68" s="900"/>
      <c r="K68" s="901"/>
      <c r="L68" s="898"/>
      <c r="N68" s="899"/>
      <c r="O68" s="909" t="s">
        <v>691</v>
      </c>
      <c r="P68" s="909"/>
      <c r="R68" s="910"/>
      <c r="S68" s="910"/>
      <c r="T68" s="910">
        <f ca="1">+$J$10*0.4</f>
        <v>77616.684484041951</v>
      </c>
      <c r="U68" s="898"/>
    </row>
    <row r="69" spans="2:41" ht="11.5" customHeight="1">
      <c r="B69" s="899"/>
      <c r="H69" s="900"/>
      <c r="I69" s="900"/>
      <c r="J69" s="900"/>
      <c r="K69" s="901"/>
      <c r="L69" s="898"/>
      <c r="N69" s="899"/>
      <c r="O69" s="914">
        <v>45901</v>
      </c>
      <c r="P69" s="914"/>
      <c r="Q69" s="912"/>
      <c r="R69" s="915"/>
      <c r="S69" s="915"/>
      <c r="T69" s="915"/>
      <c r="U69" s="898"/>
    </row>
    <row r="70" spans="2:41" ht="11.5" customHeight="1">
      <c r="B70" s="899"/>
      <c r="L70" s="898"/>
      <c r="N70" s="899"/>
      <c r="O70" s="909" t="s">
        <v>691</v>
      </c>
      <c r="P70" s="909"/>
      <c r="R70" s="910"/>
      <c r="S70" s="910"/>
      <c r="T70" s="910">
        <f ca="1">+$J$10*0.15</f>
        <v>29106.25668151573</v>
      </c>
      <c r="U70" s="898"/>
    </row>
    <row r="71" spans="2:41" ht="11.5" customHeight="1">
      <c r="B71" s="899"/>
      <c r="L71" s="898"/>
      <c r="N71" s="899"/>
      <c r="O71" s="914">
        <v>45992</v>
      </c>
      <c r="P71" s="914"/>
      <c r="Q71" s="912"/>
      <c r="R71" s="915"/>
      <c r="S71" s="915"/>
      <c r="T71" s="915"/>
      <c r="U71" s="898"/>
    </row>
    <row r="72" spans="2:41" ht="11.5" customHeight="1" thickBot="1">
      <c r="B72" s="902"/>
      <c r="C72" s="903"/>
      <c r="D72" s="903"/>
      <c r="E72" s="903"/>
      <c r="F72" s="903"/>
      <c r="G72" s="903"/>
      <c r="H72" s="903"/>
      <c r="I72" s="903"/>
      <c r="J72" s="903"/>
      <c r="K72" s="903"/>
      <c r="L72" s="904"/>
      <c r="N72" s="902"/>
      <c r="O72" s="920" t="s">
        <v>691</v>
      </c>
      <c r="P72" s="920"/>
      <c r="Q72" s="918"/>
      <c r="R72" s="921"/>
      <c r="S72" s="921"/>
      <c r="T72" s="921">
        <f ca="1">+$J$10*0.15</f>
        <v>29106.25668151573</v>
      </c>
      <c r="U72" s="904"/>
    </row>
    <row r="73" spans="2:41" ht="11.5" customHeight="1" thickTop="1"/>
  </sheetData>
  <mergeCells count="38">
    <mergeCell ref="B59:C59"/>
    <mergeCell ref="B5:C5"/>
    <mergeCell ref="J8:K8"/>
    <mergeCell ref="J9:K9"/>
    <mergeCell ref="J10:K10"/>
    <mergeCell ref="J11:K11"/>
    <mergeCell ref="J12:K12"/>
    <mergeCell ref="J13:K13"/>
    <mergeCell ref="J14:K14"/>
    <mergeCell ref="B22:C22"/>
    <mergeCell ref="AD6:AE6"/>
    <mergeCell ref="AD7:AE7"/>
    <mergeCell ref="J15:K15"/>
    <mergeCell ref="J16:K16"/>
    <mergeCell ref="J17:K17"/>
    <mergeCell ref="AG48:AH48"/>
    <mergeCell ref="AF45:AH46"/>
    <mergeCell ref="AE44:AF44"/>
    <mergeCell ref="AG44:AH44"/>
    <mergeCell ref="U23:V23"/>
    <mergeCell ref="U24:V24"/>
    <mergeCell ref="U25:V25"/>
    <mergeCell ref="U26:V26"/>
    <mergeCell ref="AE34:AF34"/>
    <mergeCell ref="AE35:AF35"/>
    <mergeCell ref="T33:V33"/>
    <mergeCell ref="T32:V32"/>
    <mergeCell ref="AE32:AF32"/>
    <mergeCell ref="AC24:AC25"/>
    <mergeCell ref="AD24:AD25"/>
    <mergeCell ref="AG24:AG25"/>
    <mergeCell ref="AE24:AF25"/>
    <mergeCell ref="AE22:AF23"/>
    <mergeCell ref="AG14:AH14"/>
    <mergeCell ref="AC22:AC23"/>
    <mergeCell ref="AD22:AD23"/>
    <mergeCell ref="AG22:AG23"/>
    <mergeCell ref="AH22:AH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6F53-193D-421D-9439-536B57D53CE7}">
  <dimension ref="B1:P52"/>
  <sheetViews>
    <sheetView showGridLines="0" topLeftCell="A20" zoomScale="55" zoomScaleNormal="55" workbookViewId="0">
      <selection activeCell="J45" sqref="J45"/>
    </sheetView>
  </sheetViews>
  <sheetFormatPr defaultRowHeight="14.5"/>
  <cols>
    <col min="2" max="2" width="37.1796875" customWidth="1"/>
    <col min="3" max="3" width="26.453125" customWidth="1"/>
    <col min="4" max="4" width="16.81640625" bestFit="1" customWidth="1"/>
    <col min="5" max="16" width="16.453125" style="757" customWidth="1"/>
  </cols>
  <sheetData>
    <row r="1" spans="2:16">
      <c r="B1" t="s">
        <v>257</v>
      </c>
    </row>
    <row r="2" spans="2:16">
      <c r="E2" s="757" t="str">
        <f>+'Cash Flow'!BE75</f>
        <v>January</v>
      </c>
      <c r="F2" s="757" t="str">
        <f>+'Cash Flow'!BF75</f>
        <v>February</v>
      </c>
      <c r="G2" s="757" t="str">
        <f>+'Cash Flow'!BG75</f>
        <v>March</v>
      </c>
      <c r="H2" s="757" t="str">
        <f>+'Cash Flow'!BH75</f>
        <v>April</v>
      </c>
      <c r="I2" s="757" t="str">
        <f>+'Cash Flow'!BI75</f>
        <v xml:space="preserve">May </v>
      </c>
      <c r="J2" s="757" t="str">
        <f>+'Cash Flow'!BJ75</f>
        <v>June</v>
      </c>
      <c r="K2" s="757" t="str">
        <f>+'Cash Flow'!BK75</f>
        <v>July</v>
      </c>
      <c r="L2" s="757" t="str">
        <f>+'Cash Flow'!BL75</f>
        <v xml:space="preserve">August </v>
      </c>
      <c r="M2" s="757" t="str">
        <f>+'Cash Flow'!BM75</f>
        <v>September</v>
      </c>
      <c r="N2" s="757" t="str">
        <f>+'Cash Flow'!BN75</f>
        <v>October</v>
      </c>
      <c r="O2" s="757" t="str">
        <f>+'Cash Flow'!BO75</f>
        <v>November</v>
      </c>
      <c r="P2" s="757" t="str">
        <f>+'Cash Flow'!BP75</f>
        <v>December</v>
      </c>
    </row>
    <row r="3" spans="2:16">
      <c r="B3" t="s">
        <v>582</v>
      </c>
      <c r="E3" s="758">
        <f>+'Cash Flow'!BE77</f>
        <v>132050</v>
      </c>
      <c r="F3" s="758">
        <f>+'Cash Flow'!BF77</f>
        <v>132050</v>
      </c>
      <c r="G3" s="758">
        <f>+'Cash Flow'!BG77</f>
        <v>132050</v>
      </c>
      <c r="H3" s="758">
        <f>+'Cash Flow'!BH77</f>
        <v>132050</v>
      </c>
      <c r="I3" s="758">
        <f>+'Cash Flow'!BI77</f>
        <v>132050</v>
      </c>
      <c r="J3" s="758">
        <f>+'Cash Flow'!BJ77</f>
        <v>132050</v>
      </c>
      <c r="K3" s="758">
        <f>+'Cash Flow'!BK77</f>
        <v>132050</v>
      </c>
      <c r="L3" s="758">
        <f>+'Cash Flow'!BL77</f>
        <v>132050</v>
      </c>
      <c r="M3" s="758">
        <f>+'Cash Flow'!BM77</f>
        <v>132050</v>
      </c>
      <c r="N3" s="758">
        <f>+'Cash Flow'!BN77</f>
        <v>132050</v>
      </c>
      <c r="O3" s="758">
        <f>+'Cash Flow'!BO77</f>
        <v>132050</v>
      </c>
      <c r="P3" s="758">
        <f>+'Cash Flow'!BP77</f>
        <v>179141.38798247313</v>
      </c>
    </row>
    <row r="4" spans="2:16">
      <c r="B4" t="s">
        <v>581</v>
      </c>
      <c r="E4" s="758">
        <f>+'Cash Flow'!BE78</f>
        <v>20939.419999999991</v>
      </c>
      <c r="F4" s="758">
        <f>+'Cash Flow'!BF78</f>
        <v>20939.419999999991</v>
      </c>
      <c r="G4" s="758">
        <f>+'Cash Flow'!BG78</f>
        <v>65939.42</v>
      </c>
      <c r="H4" s="758">
        <f>+'Cash Flow'!BH78</f>
        <v>24939.419999999991</v>
      </c>
      <c r="I4" s="758">
        <f>+'Cash Flow'!BI78</f>
        <v>21939.419999999991</v>
      </c>
      <c r="J4" s="758">
        <f>+'Cash Flow'!BJ78</f>
        <v>40439.42</v>
      </c>
      <c r="K4" s="758">
        <f>+'Cash Flow'!BK78</f>
        <v>35939.419999999991</v>
      </c>
      <c r="L4" s="758">
        <f>+'Cash Flow'!BL78</f>
        <v>20939.419999999991</v>
      </c>
      <c r="M4" s="758">
        <f>+'Cash Flow'!BM78</f>
        <v>20939.419999999991</v>
      </c>
      <c r="N4" s="758">
        <f>+'Cash Flow'!BN78</f>
        <v>24939.419999999991</v>
      </c>
      <c r="O4" s="758">
        <f>+'Cash Flow'!BO78</f>
        <v>48392.38</v>
      </c>
      <c r="P4" s="758">
        <f>+'Cash Flow'!BP78</f>
        <v>38439.573602000273</v>
      </c>
    </row>
    <row r="6" spans="2:16">
      <c r="B6" t="s">
        <v>583</v>
      </c>
    </row>
    <row r="7" spans="2:16">
      <c r="E7" s="757" t="str">
        <f>+'Cash Flow'!BE81</f>
        <v>January</v>
      </c>
      <c r="F7" s="757" t="str">
        <f>+'Cash Flow'!BF81</f>
        <v>February</v>
      </c>
      <c r="G7" s="757" t="str">
        <f>+'Cash Flow'!BG81</f>
        <v>March</v>
      </c>
      <c r="H7" s="757" t="str">
        <f>+'Cash Flow'!BH81</f>
        <v>April</v>
      </c>
      <c r="I7" s="757" t="str">
        <f>+'Cash Flow'!BI81</f>
        <v xml:space="preserve">May </v>
      </c>
      <c r="J7" s="757" t="str">
        <f>+'Cash Flow'!BJ81</f>
        <v>June</v>
      </c>
      <c r="K7" s="757" t="str">
        <f>+'Cash Flow'!BK81</f>
        <v>July</v>
      </c>
      <c r="L7" s="757" t="str">
        <f>+'Cash Flow'!BL81</f>
        <v xml:space="preserve">August </v>
      </c>
      <c r="M7" s="757" t="str">
        <f>+'Cash Flow'!BM81</f>
        <v>September</v>
      </c>
      <c r="N7" s="757" t="str">
        <f>+'Cash Flow'!BN81</f>
        <v>October</v>
      </c>
      <c r="O7" s="757" t="str">
        <f>+'Cash Flow'!BO81</f>
        <v>November</v>
      </c>
      <c r="P7" s="757" t="str">
        <f>+'Cash Flow'!BP81</f>
        <v>December</v>
      </c>
    </row>
    <row r="8" spans="2:16">
      <c r="B8" t="str">
        <f>+B3</f>
        <v>Status Quo</v>
      </c>
      <c r="E8" s="758">
        <f>+'Cash Flow'!BE83</f>
        <v>220374.10963917524</v>
      </c>
      <c r="F8" s="758">
        <f>+'Cash Flow'!BF83</f>
        <v>218620.67921631158</v>
      </c>
      <c r="G8" s="758">
        <f>+'Cash Flow'!BG83</f>
        <v>216850.27825059669</v>
      </c>
      <c r="H8" s="758">
        <f>+'Cash Flow'!BH83</f>
        <v>170077.01689783303</v>
      </c>
      <c r="I8" s="758">
        <f>+'Cash Flow'!BI83</f>
        <v>164264.53791938722</v>
      </c>
      <c r="J8" s="758">
        <f>+'Cash Flow'!BJ83</f>
        <v>161409.54660869442</v>
      </c>
      <c r="K8" s="758">
        <f>+'Cash Flow'!BK83</f>
        <v>140047.51906102506</v>
      </c>
      <c r="L8" s="758">
        <f>+'Cash Flow'!BL83</f>
        <v>123165.92245109769</v>
      </c>
      <c r="M8" s="758">
        <f>+'Cash Flow'!BM83</f>
        <v>121253.41545860383</v>
      </c>
      <c r="N8" s="758">
        <f>+'Cash Flow'!BN83</f>
        <v>119325.70094328896</v>
      </c>
      <c r="O8" s="758">
        <f>+'Cash Flow'!BO83</f>
        <v>113394.87187384866</v>
      </c>
      <c r="P8" s="758">
        <f>+'Cash Flow'!BP83</f>
        <v>253553.98822185921</v>
      </c>
    </row>
    <row r="9" spans="2:16">
      <c r="B9" t="s">
        <v>581</v>
      </c>
      <c r="E9" s="758">
        <f>+'Cash Flow'!BE84</f>
        <v>109758.90360824735</v>
      </c>
      <c r="F9" s="758">
        <f>+'Cash Flow'!BF84</f>
        <v>107911.60373188833</v>
      </c>
      <c r="G9" s="758">
        <f>+'Cash Flow'!BG84</f>
        <v>61039.620875927125</v>
      </c>
      <c r="H9" s="758">
        <f>+'Cash Flow'!BH84</f>
        <v>55110.965867517254</v>
      </c>
      <c r="I9" s="758">
        <f>+'Cash Flow'!BI84</f>
        <v>52120.762385698668</v>
      </c>
      <c r="J9" s="758">
        <f>+'Cash Flow'!BJ84</f>
        <v>30620.008298857145</v>
      </c>
      <c r="K9" s="758">
        <f>+'Cash Flow'!BK84</f>
        <v>13590.752737607094</v>
      </c>
      <c r="L9" s="758">
        <f>+'Cash Flow'!BL84</f>
        <v>11516.621863796852</v>
      </c>
      <c r="M9" s="758">
        <f>+'Cash Flow'!BM84</f>
        <v>9420.1503644346867</v>
      </c>
      <c r="N9" s="758">
        <f>+'Cash Flow'!BN84</f>
        <v>3318.7644618135928</v>
      </c>
      <c r="O9" s="758">
        <f>+'Cash Flow'!BO84</f>
        <v>0</v>
      </c>
      <c r="P9" s="758">
        <f>+'Cash Flow'!BP84</f>
        <v>129388.67625717539</v>
      </c>
    </row>
    <row r="11" spans="2:16">
      <c r="B11" t="s">
        <v>584</v>
      </c>
    </row>
    <row r="12" spans="2:16">
      <c r="E12" s="757" t="str">
        <f>+'Cash Flow'!BE87</f>
        <v>January</v>
      </c>
      <c r="F12" s="757" t="str">
        <f>+'Cash Flow'!BF87</f>
        <v>February</v>
      </c>
      <c r="G12" s="757" t="str">
        <f>+'Cash Flow'!BG87</f>
        <v>March</v>
      </c>
      <c r="H12" s="757" t="str">
        <f>+'Cash Flow'!BH87</f>
        <v>April</v>
      </c>
      <c r="I12" s="757" t="str">
        <f>+'Cash Flow'!BI87</f>
        <v xml:space="preserve">May </v>
      </c>
      <c r="J12" s="757" t="str">
        <f>+'Cash Flow'!BJ87</f>
        <v>June</v>
      </c>
      <c r="K12" s="757" t="str">
        <f>+'Cash Flow'!BK87</f>
        <v>July</v>
      </c>
      <c r="L12" s="757" t="str">
        <f>+'Cash Flow'!BL87</f>
        <v xml:space="preserve">August </v>
      </c>
      <c r="M12" s="757" t="str">
        <f>+'Cash Flow'!BM87</f>
        <v>September</v>
      </c>
      <c r="N12" s="757" t="str">
        <f>+'Cash Flow'!BN87</f>
        <v>October</v>
      </c>
      <c r="O12" s="757" t="str">
        <f>+'Cash Flow'!BO87</f>
        <v>November</v>
      </c>
      <c r="P12" s="757" t="str">
        <f>+'Cash Flow'!BP87</f>
        <v>December</v>
      </c>
    </row>
    <row r="13" spans="2:16">
      <c r="B13" t="str">
        <f>+B8</f>
        <v>Status Quo</v>
      </c>
      <c r="E13" s="758">
        <f>+'Cash Flow'!BE89</f>
        <v>135000</v>
      </c>
      <c r="F13" s="758">
        <f>+'Cash Flow'!BF89</f>
        <v>135288.8438</v>
      </c>
      <c r="G13" s="758">
        <f>+'Cash Flow'!BG89</f>
        <v>135578.30559999999</v>
      </c>
      <c r="H13" s="758">
        <f>+'Cash Flow'!BH89</f>
        <v>135868.3867</v>
      </c>
      <c r="I13" s="758">
        <f>+'Cash Flow'!BI89</f>
        <v>136159.08840000001</v>
      </c>
      <c r="J13" s="758">
        <f>+'Cash Flow'!BJ89</f>
        <v>136450.41209999999</v>
      </c>
      <c r="K13" s="758">
        <f>+'Cash Flow'!BK89</f>
        <v>136742.3591</v>
      </c>
      <c r="L13" s="758">
        <f>+'Cash Flow'!BL89</f>
        <v>137034.9308</v>
      </c>
      <c r="M13" s="758">
        <f>+'Cash Flow'!BM89</f>
        <v>137328.12849999999</v>
      </c>
      <c r="N13" s="758">
        <f>+'Cash Flow'!BN89</f>
        <v>137621.9535</v>
      </c>
      <c r="O13" s="758">
        <f>+'Cash Flow'!BO89</f>
        <v>137916.40710000001</v>
      </c>
      <c r="P13" s="758">
        <f>+'Cash Flow'!BP89</f>
        <v>138211.49069999999</v>
      </c>
    </row>
    <row r="14" spans="2:16">
      <c r="B14" t="s">
        <v>581</v>
      </c>
      <c r="E14" s="758">
        <f>+'Cash Flow'!BE90</f>
        <v>135000</v>
      </c>
      <c r="F14" s="758">
        <f>+'Cash Flow'!BF90</f>
        <v>135288.8438</v>
      </c>
      <c r="G14" s="758">
        <f>+'Cash Flow'!BG90</f>
        <v>135578.30559999999</v>
      </c>
      <c r="H14" s="758">
        <f>+'Cash Flow'!BH90</f>
        <v>135868.3867</v>
      </c>
      <c r="I14" s="758">
        <f>+'Cash Flow'!BI90</f>
        <v>136159.08840000001</v>
      </c>
      <c r="J14" s="758">
        <f>+'Cash Flow'!BJ90</f>
        <v>136450.41209999999</v>
      </c>
      <c r="K14" s="758">
        <f>+'Cash Flow'!BK90</f>
        <v>136742.3591</v>
      </c>
      <c r="L14" s="758">
        <f>+'Cash Flow'!BL90</f>
        <v>137034.9308</v>
      </c>
      <c r="M14" s="758">
        <f>+'Cash Flow'!BM90</f>
        <v>137328.12849999999</v>
      </c>
      <c r="N14" s="758">
        <f>+'Cash Flow'!BN90</f>
        <v>137621.9535</v>
      </c>
      <c r="O14" s="758">
        <f>+'Cash Flow'!BO90</f>
        <v>137916.40710000001</v>
      </c>
      <c r="P14" s="758">
        <f>+'Cash Flow'!BP90</f>
        <v>138211.49069999999</v>
      </c>
    </row>
    <row r="16" spans="2:16">
      <c r="B16" t="s">
        <v>585</v>
      </c>
    </row>
    <row r="17" spans="2:16">
      <c r="E17" s="757" t="str">
        <f>+'Cash Flow'!BE93</f>
        <v>January</v>
      </c>
      <c r="F17" s="757" t="str">
        <f>+'Cash Flow'!BF93</f>
        <v>February</v>
      </c>
      <c r="G17" s="757" t="str">
        <f>+'Cash Flow'!BG93</f>
        <v>March</v>
      </c>
      <c r="H17" s="757" t="str">
        <f>+'Cash Flow'!BH93</f>
        <v>April</v>
      </c>
      <c r="I17" s="757" t="str">
        <f>+'Cash Flow'!BI93</f>
        <v xml:space="preserve">May </v>
      </c>
      <c r="J17" s="757" t="str">
        <f>+'Cash Flow'!BJ93</f>
        <v>June</v>
      </c>
      <c r="K17" s="757" t="str">
        <f>+'Cash Flow'!BK93</f>
        <v>July</v>
      </c>
      <c r="L17" s="757" t="str">
        <f>+'Cash Flow'!BL93</f>
        <v xml:space="preserve">August </v>
      </c>
      <c r="M17" s="757" t="str">
        <f>+'Cash Flow'!BM93</f>
        <v>September</v>
      </c>
      <c r="N17" s="757" t="str">
        <f>+'Cash Flow'!BN93</f>
        <v>October</v>
      </c>
      <c r="O17" s="757" t="str">
        <f>+'Cash Flow'!BO93</f>
        <v>November</v>
      </c>
      <c r="P17" s="757" t="str">
        <f>+'Cash Flow'!BP93</f>
        <v>December</v>
      </c>
    </row>
    <row r="18" spans="2:16">
      <c r="B18" t="str">
        <f>+B13</f>
        <v>Status Quo</v>
      </c>
      <c r="E18" s="758">
        <f>+'Cash Flow'!BE95</f>
        <v>2524138.75</v>
      </c>
      <c r="F18" s="758">
        <f>+'Cash Flow'!BF95</f>
        <v>2538862.8927083332</v>
      </c>
      <c r="G18" s="758">
        <f>+'Cash Flow'!BG95</f>
        <v>2553672.926249132</v>
      </c>
      <c r="H18" s="758">
        <f>+'Cash Flow'!BH95</f>
        <v>2568569.351652252</v>
      </c>
      <c r="I18" s="758">
        <f>+'Cash Flow'!BI95</f>
        <v>2583552.6728702234</v>
      </c>
      <c r="J18" s="758">
        <f>+'Cash Flow'!BJ95</f>
        <v>2598623.3967952998</v>
      </c>
      <c r="K18" s="758">
        <f>+'Cash Flow'!BK95</f>
        <v>2613782.0332766059</v>
      </c>
      <c r="L18" s="758">
        <f>+'Cash Flow'!BL95</f>
        <v>2629029.0951373861</v>
      </c>
      <c r="M18" s="758">
        <f>+'Cash Flow'!BM95</f>
        <v>2644365.0981923542</v>
      </c>
      <c r="N18" s="758">
        <f>+'Cash Flow'!BN95</f>
        <v>2659790.5612651431</v>
      </c>
      <c r="O18" s="758">
        <f>+'Cash Flow'!BO95</f>
        <v>2675306.0062058563</v>
      </c>
      <c r="P18" s="758">
        <f>+'Cash Flow'!BP95</f>
        <v>2690911.957908724</v>
      </c>
    </row>
    <row r="19" spans="2:16">
      <c r="B19" t="s">
        <v>581</v>
      </c>
      <c r="E19" s="758">
        <f>+'Cash Flow'!BE96</f>
        <v>2524138.75</v>
      </c>
      <c r="F19" s="758">
        <f>+'Cash Flow'!BF96</f>
        <v>2538862.8927083332</v>
      </c>
      <c r="G19" s="758">
        <f>+'Cash Flow'!BG96</f>
        <v>2553672.926249132</v>
      </c>
      <c r="H19" s="758">
        <f>+'Cash Flow'!BH96</f>
        <v>2568569.351652252</v>
      </c>
      <c r="I19" s="758">
        <f>+'Cash Flow'!BI96</f>
        <v>2583552.6728702234</v>
      </c>
      <c r="J19" s="758">
        <f>+'Cash Flow'!BJ96</f>
        <v>2598623.3967952998</v>
      </c>
      <c r="K19" s="758">
        <f>+'Cash Flow'!BK96</f>
        <v>2613782.0332766059</v>
      </c>
      <c r="L19" s="758">
        <f>+'Cash Flow'!BL96</f>
        <v>2629029.0951373861</v>
      </c>
      <c r="M19" s="758">
        <f>+'Cash Flow'!BM96</f>
        <v>2644365.0981923542</v>
      </c>
      <c r="N19" s="758">
        <f>+'Cash Flow'!BN96</f>
        <v>2659790.5612651431</v>
      </c>
      <c r="O19" s="758">
        <f>+'Cash Flow'!BO96</f>
        <v>2675306.0062058563</v>
      </c>
      <c r="P19" s="758">
        <f>+'Cash Flow'!BP96</f>
        <v>2690911.957908724</v>
      </c>
    </row>
    <row r="21" spans="2:16">
      <c r="B21" t="s">
        <v>2</v>
      </c>
    </row>
    <row r="22" spans="2:16">
      <c r="E22" s="757" t="str">
        <f>+'Cash Flow'!BE99</f>
        <v>January</v>
      </c>
      <c r="F22" s="757" t="str">
        <f>+'Cash Flow'!BF99</f>
        <v>February</v>
      </c>
      <c r="G22" s="757" t="str">
        <f>+'Cash Flow'!BG99</f>
        <v>March</v>
      </c>
      <c r="H22" s="757" t="str">
        <f>+'Cash Flow'!BH99</f>
        <v>April</v>
      </c>
      <c r="I22" s="757" t="str">
        <f>+'Cash Flow'!BI99</f>
        <v xml:space="preserve">May </v>
      </c>
      <c r="J22" s="757" t="str">
        <f>+'Cash Flow'!BJ99</f>
        <v>June</v>
      </c>
      <c r="K22" s="757" t="str">
        <f>+'Cash Flow'!BK99</f>
        <v>July</v>
      </c>
      <c r="L22" s="757" t="str">
        <f>+'Cash Flow'!BL99</f>
        <v xml:space="preserve">August </v>
      </c>
      <c r="M22" s="757" t="str">
        <f>+'Cash Flow'!BM99</f>
        <v>September</v>
      </c>
      <c r="N22" s="757" t="str">
        <f>+'Cash Flow'!BN99</f>
        <v>October</v>
      </c>
      <c r="O22" s="757" t="str">
        <f>+'Cash Flow'!BO99</f>
        <v>November</v>
      </c>
      <c r="P22" s="757" t="str">
        <f>+'Cash Flow'!BP99</f>
        <v>December</v>
      </c>
    </row>
    <row r="23" spans="2:16">
      <c r="B23" t="str">
        <f>+B18</f>
        <v>Status Quo</v>
      </c>
      <c r="E23" s="758">
        <f>+'Cash Flow'!BE101</f>
        <v>4643396.829639175</v>
      </c>
      <c r="F23" s="758">
        <f>+'Cash Flow'!BF101</f>
        <v>4656656.3857246442</v>
      </c>
      <c r="G23" s="758">
        <f>+'Cash Flow'!BG101</f>
        <v>4669985.4800997274</v>
      </c>
      <c r="H23" s="758">
        <f>+'Cash Flow'!BH101</f>
        <v>4638398.725250084</v>
      </c>
      <c r="I23" s="758">
        <f>+'Cash Flow'!BI101</f>
        <v>4647860.2691896101</v>
      </c>
      <c r="J23" s="758">
        <f>+'Cash Flow'!BJ101</f>
        <v>4660367.3255039947</v>
      </c>
      <c r="K23" s="758">
        <f>+'Cash Flow'!BK101</f>
        <v>4654455.8814376313</v>
      </c>
      <c r="L23" s="758">
        <f>+'Cash Flow'!BL101</f>
        <v>4653113.9183884831</v>
      </c>
      <c r="M23" s="758">
        <f>+'Cash Flow'!BM101</f>
        <v>4666830.6121509578</v>
      </c>
      <c r="N23" s="758">
        <f>+'Cash Flow'!BN101</f>
        <v>4680622.1857084315</v>
      </c>
      <c r="O23" s="758">
        <f>+'Cash Flow'!BO101</f>
        <v>4690501.255179706</v>
      </c>
      <c r="P23" s="758">
        <f>+'Cash Flow'!BP101</f>
        <v>4893652.7948130555</v>
      </c>
    </row>
    <row r="24" spans="2:16">
      <c r="B24" t="s">
        <v>581</v>
      </c>
      <c r="E24" s="758">
        <f>+'Cash Flow'!BE102</f>
        <v>4643396.829639175</v>
      </c>
      <c r="F24" s="758">
        <f>+'Cash Flow'!BF102</f>
        <v>4656656.3857246442</v>
      </c>
      <c r="G24" s="758">
        <f>+'Cash Flow'!BG102</f>
        <v>4669985.4800997274</v>
      </c>
      <c r="H24" s="758">
        <f>+'Cash Flow'!BH102</f>
        <v>4638398.725250084</v>
      </c>
      <c r="I24" s="758">
        <f>+'Cash Flow'!BI102</f>
        <v>4647860.2691896101</v>
      </c>
      <c r="J24" s="758">
        <f>+'Cash Flow'!BJ102</f>
        <v>4660367.3255039947</v>
      </c>
      <c r="K24" s="758">
        <f>+'Cash Flow'!BK102</f>
        <v>4654455.8814376313</v>
      </c>
      <c r="L24" s="758">
        <f>+'Cash Flow'!BL102</f>
        <v>4653113.9183884831</v>
      </c>
      <c r="M24" s="758">
        <f>+'Cash Flow'!BM102</f>
        <v>4666830.6121509578</v>
      </c>
      <c r="N24" s="758">
        <f>+'Cash Flow'!BN102</f>
        <v>4680622.1857084315</v>
      </c>
      <c r="O24" s="758">
        <f>+'Cash Flow'!BO102</f>
        <v>4690501.255179706</v>
      </c>
      <c r="P24" s="758">
        <f>+'Cash Flow'!BP102</f>
        <v>4893652.7948130555</v>
      </c>
    </row>
    <row r="31" spans="2:16" ht="15" thickBot="1"/>
    <row r="32" spans="2:16" ht="39" customHeight="1" thickBot="1">
      <c r="B32" s="771"/>
      <c r="C32" s="771"/>
      <c r="D32" s="771"/>
      <c r="E32" s="771" t="str">
        <f>E2</f>
        <v>January</v>
      </c>
      <c r="F32" s="771" t="str">
        <f t="shared" ref="F32:P32" si="0">F2</f>
        <v>February</v>
      </c>
      <c r="G32" s="771" t="str">
        <f t="shared" si="0"/>
        <v>March</v>
      </c>
      <c r="H32" s="771" t="str">
        <f t="shared" si="0"/>
        <v>April</v>
      </c>
      <c r="I32" s="771" t="str">
        <f t="shared" si="0"/>
        <v xml:space="preserve">May </v>
      </c>
      <c r="J32" s="771" t="str">
        <f t="shared" si="0"/>
        <v>June</v>
      </c>
      <c r="K32" s="771" t="str">
        <f t="shared" si="0"/>
        <v>July</v>
      </c>
      <c r="L32" s="771" t="str">
        <f t="shared" si="0"/>
        <v xml:space="preserve">August </v>
      </c>
      <c r="M32" s="771" t="str">
        <f t="shared" si="0"/>
        <v>September</v>
      </c>
      <c r="N32" s="771" t="str">
        <f t="shared" si="0"/>
        <v>October</v>
      </c>
      <c r="O32" s="771" t="str">
        <f t="shared" si="0"/>
        <v>November</v>
      </c>
      <c r="P32" s="771" t="str">
        <f t="shared" si="0"/>
        <v>December</v>
      </c>
    </row>
    <row r="33" spans="2:16" ht="36" customHeight="1" thickTop="1" thickBot="1">
      <c r="B33" s="1084" t="s">
        <v>599</v>
      </c>
      <c r="C33" s="1085"/>
      <c r="D33" s="769"/>
      <c r="E33" s="770">
        <f>+'Cash Flow'!BE108</f>
        <v>18813.52963917526</v>
      </c>
      <c r="F33" s="770">
        <f>+'Cash Flow'!BF108</f>
        <v>18813.52963917526</v>
      </c>
      <c r="G33" s="770">
        <f>+'Cash Flow'!BG108</f>
        <v>18813.52963917526</v>
      </c>
      <c r="H33" s="770">
        <f>+'Cash Flow'!BH108</f>
        <v>18813.52963917526</v>
      </c>
      <c r="I33" s="770">
        <f>+'Cash Flow'!BI108</f>
        <v>18813.52963917526</v>
      </c>
      <c r="J33" s="770">
        <f>+'Cash Flow'!BJ108</f>
        <v>18813.52963917526</v>
      </c>
      <c r="K33" s="770">
        <f>+'Cash Flow'!BK108</f>
        <v>18813.52963917526</v>
      </c>
      <c r="L33" s="770">
        <f>+'Cash Flow'!BL108</f>
        <v>18813.52963917526</v>
      </c>
      <c r="M33" s="770">
        <f>+'Cash Flow'!BM108</f>
        <v>18813.52963917526</v>
      </c>
      <c r="N33" s="770">
        <f>+'Cash Flow'!BN108</f>
        <v>18813.52963917526</v>
      </c>
      <c r="O33" s="770">
        <f>+'Cash Flow'!BO108</f>
        <v>18813.52963917526</v>
      </c>
      <c r="P33" s="770">
        <f>+'Cash Flow'!BP108</f>
        <v>38439.42</v>
      </c>
    </row>
    <row r="34" spans="2:16" ht="36.65" customHeight="1" thickBot="1">
      <c r="B34" s="1086" t="s">
        <v>598</v>
      </c>
      <c r="C34" s="1087"/>
      <c r="D34" s="764"/>
      <c r="E34" s="765">
        <f>+'Cash Flow'!BE115</f>
        <v>-38439.42</v>
      </c>
      <c r="F34" s="765">
        <f>+'Cash Flow'!BF115</f>
        <v>-20939.419999999991</v>
      </c>
      <c r="G34" s="765">
        <f>+'Cash Flow'!BG115</f>
        <v>-20939.419999999991</v>
      </c>
      <c r="H34" s="765">
        <f>+'Cash Flow'!BH115</f>
        <v>-65939.42</v>
      </c>
      <c r="I34" s="765">
        <f>+'Cash Flow'!BI115</f>
        <v>-24939.419999999991</v>
      </c>
      <c r="J34" s="765">
        <f>+'Cash Flow'!BJ115</f>
        <v>-21939.419999999991</v>
      </c>
      <c r="K34" s="765">
        <f>+'Cash Flow'!BK115</f>
        <v>-40439.42</v>
      </c>
      <c r="L34" s="765">
        <f>+'Cash Flow'!BL115</f>
        <v>-35939.419999999991</v>
      </c>
      <c r="M34" s="765">
        <f>+'Cash Flow'!BM115</f>
        <v>-20939.419999999991</v>
      </c>
      <c r="N34" s="765">
        <f>+'Cash Flow'!BN115</f>
        <v>-20939.419999999991</v>
      </c>
      <c r="O34" s="765">
        <f>+'Cash Flow'!BO115</f>
        <v>-24939.419999999991</v>
      </c>
      <c r="P34" s="765">
        <f>+'Cash Flow'!BP115</f>
        <v>-48392.38</v>
      </c>
    </row>
    <row r="35" spans="2:16" ht="51.65" customHeight="1" thickBot="1">
      <c r="B35" s="1086" t="s">
        <v>597</v>
      </c>
      <c r="C35" s="1087"/>
      <c r="D35" s="764"/>
      <c r="E35" s="765">
        <f>+'Cash Flow'!BS78-E36</f>
        <v>19625.890360824742</v>
      </c>
      <c r="F35" s="765">
        <f>+'Cash Flow'!BT78-F36</f>
        <v>2125.8026408292644</v>
      </c>
      <c r="G35" s="765">
        <f>+'Cash Flow'!BU78-G36</f>
        <v>47125.802640645532</v>
      </c>
      <c r="H35" s="765">
        <f>+'Cash Flow'!BV78-H36</f>
        <v>6125.7083830253032</v>
      </c>
      <c r="I35" s="765">
        <f>+'Cash Flow'!BW78-I36</f>
        <v>3125.7000043727458</v>
      </c>
      <c r="J35" s="765">
        <f>+'Cash Flow'!BX78-J36</f>
        <v>21625.792167361637</v>
      </c>
      <c r="K35" s="765">
        <f>+'Cash Flow'!BY78-K36</f>
        <v>17125.759701041046</v>
      </c>
      <c r="L35" s="765">
        <f>+'Cash Flow'!BZ78-L36</f>
        <v>2125.7303763800883</v>
      </c>
      <c r="M35" s="765">
        <f>+'Cash Flow'!CA78-M36</f>
        <v>2125.7712212874176</v>
      </c>
      <c r="N35" s="765">
        <f>+'Cash Flow'!CB78-N36</f>
        <v>6125.8026405797136</v>
      </c>
      <c r="O35" s="765">
        <f>+'Cash Flow'!CC78-O36</f>
        <v>3333.6284250310746</v>
      </c>
      <c r="P35" s="765">
        <f>+'Cash Flow'!CD78-P36</f>
        <v>0</v>
      </c>
    </row>
    <row r="36" spans="2:16" ht="51.65" customHeight="1" thickBot="1">
      <c r="B36" s="1086" t="s">
        <v>600</v>
      </c>
      <c r="C36" s="1087"/>
      <c r="D36" s="764"/>
      <c r="E36" s="765">
        <f>+'Cash Flow'!BS85</f>
        <v>0</v>
      </c>
      <c r="F36" s="765">
        <f>+'Cash Flow'!BT85</f>
        <v>0</v>
      </c>
      <c r="G36" s="765">
        <f>+'Cash Flow'!BU85</f>
        <v>0</v>
      </c>
      <c r="H36" s="765">
        <f>+'Cash Flow'!BV85</f>
        <v>0</v>
      </c>
      <c r="I36" s="765">
        <f>+'Cash Flow'!BW85</f>
        <v>0</v>
      </c>
      <c r="J36" s="765">
        <f>+'Cash Flow'!BX85</f>
        <v>0</v>
      </c>
      <c r="K36" s="765">
        <f>+'Cash Flow'!BY85</f>
        <v>0</v>
      </c>
      <c r="L36" s="765">
        <f>+'Cash Flow'!BZ85</f>
        <v>0</v>
      </c>
      <c r="M36" s="765">
        <f>+'Cash Flow'!CA85</f>
        <v>0</v>
      </c>
      <c r="N36" s="765">
        <f>+'Cash Flow'!CB85</f>
        <v>0</v>
      </c>
      <c r="O36" s="765">
        <f>+'Cash Flow'!CC85</f>
        <v>26245.125837159325</v>
      </c>
      <c r="P36" s="765">
        <f>+'Cash Flow'!CD85</f>
        <v>0</v>
      </c>
    </row>
    <row r="37" spans="2:16" ht="51.65" customHeight="1" thickBot="1">
      <c r="B37" s="1086" t="s">
        <v>647</v>
      </c>
      <c r="C37" s="1087"/>
      <c r="D37" s="767"/>
      <c r="E37" s="845">
        <v>0</v>
      </c>
      <c r="F37" s="765">
        <f>+'Cash Flow'!BS103</f>
        <v>8.7719995465732628E-2</v>
      </c>
      <c r="G37" s="765">
        <f>+'Cash Flow'!BT103</f>
        <v>8.7720179205244164E-2</v>
      </c>
      <c r="H37" s="765">
        <f>+'Cash Flow'!BU103</f>
        <v>0.18197779942524284</v>
      </c>
      <c r="I37" s="765">
        <f>+'Cash Flow'!BV103</f>
        <v>0.19035645198918558</v>
      </c>
      <c r="J37" s="765">
        <f>+'Cash Flow'!BW103</f>
        <v>9.819346310227102E-2</v>
      </c>
      <c r="K37" s="765">
        <f>+'Cash Flow'!BX103</f>
        <v>0.13065978368760456</v>
      </c>
      <c r="L37" s="765">
        <f>+'Cash Flow'!BY103</f>
        <v>0.15998444464922032</v>
      </c>
      <c r="M37" s="765">
        <f>+'Cash Flow'!BZ103</f>
        <v>0.11913953731122666</v>
      </c>
      <c r="N37" s="765">
        <f>+'Cash Flow'!CA103</f>
        <v>8.7720245017049558E-2</v>
      </c>
      <c r="O37" s="765">
        <f>+'Cash Flow'!CB103</f>
        <v>9.6098634336399202E-2</v>
      </c>
      <c r="P37" s="765">
        <f>+'Cash Flow'!CC103</f>
        <v>0.15360200027665008</v>
      </c>
    </row>
    <row r="38" spans="2:16" ht="57" customHeight="1" thickBot="1">
      <c r="B38" s="712" t="s">
        <v>257</v>
      </c>
      <c r="C38" s="712" t="str">
        <f>+OPTIMIZER!AV24</f>
        <v>CIT Money Market Fund</v>
      </c>
      <c r="D38" s="759">
        <f>+OPTIMIZER!G24</f>
        <v>20939.419999999991</v>
      </c>
      <c r="E38" s="759">
        <f>+E4</f>
        <v>20939.419999999991</v>
      </c>
      <c r="F38" s="759">
        <f t="shared" ref="F38:P38" si="1">+F4</f>
        <v>20939.419999999991</v>
      </c>
      <c r="G38" s="759">
        <f t="shared" si="1"/>
        <v>65939.42</v>
      </c>
      <c r="H38" s="759">
        <f t="shared" si="1"/>
        <v>24939.419999999991</v>
      </c>
      <c r="I38" s="759">
        <f t="shared" si="1"/>
        <v>21939.419999999991</v>
      </c>
      <c r="J38" s="759">
        <f t="shared" si="1"/>
        <v>40439.42</v>
      </c>
      <c r="K38" s="759">
        <f t="shared" si="1"/>
        <v>35939.419999999991</v>
      </c>
      <c r="L38" s="759">
        <f t="shared" si="1"/>
        <v>20939.419999999991</v>
      </c>
      <c r="M38" s="759">
        <f t="shared" si="1"/>
        <v>20939.419999999991</v>
      </c>
      <c r="N38" s="759">
        <f t="shared" si="1"/>
        <v>24939.419999999991</v>
      </c>
      <c r="O38" s="759">
        <f t="shared" si="1"/>
        <v>48392.38</v>
      </c>
      <c r="P38" s="759">
        <f t="shared" si="1"/>
        <v>38439.573602000273</v>
      </c>
    </row>
    <row r="39" spans="2:16" ht="16" customHeight="1" thickBot="1">
      <c r="E39"/>
      <c r="F39"/>
      <c r="G39"/>
      <c r="H39"/>
      <c r="I39"/>
      <c r="J39"/>
      <c r="K39"/>
      <c r="L39"/>
      <c r="M39"/>
      <c r="N39"/>
      <c r="O39"/>
      <c r="P39"/>
    </row>
    <row r="40" spans="2:16" ht="36" customHeight="1" thickBot="1">
      <c r="B40" s="1086" t="s">
        <v>602</v>
      </c>
      <c r="C40" s="1087"/>
      <c r="D40" s="767"/>
      <c r="E40" s="768">
        <f>+'Cash Flow'!BS91</f>
        <v>0</v>
      </c>
      <c r="F40" s="765">
        <f>+'Cash Flow'!BT91</f>
        <v>0</v>
      </c>
      <c r="G40" s="765">
        <f>+'Cash Flow'!BU91</f>
        <v>0</v>
      </c>
      <c r="H40" s="765">
        <f>+'Cash Flow'!BV91</f>
        <v>0</v>
      </c>
      <c r="I40" s="765">
        <f>+'Cash Flow'!BW91</f>
        <v>0</v>
      </c>
      <c r="J40" s="765">
        <f>+'Cash Flow'!BX91</f>
        <v>0</v>
      </c>
      <c r="K40" s="765">
        <f>+'Cash Flow'!BY91</f>
        <v>0</v>
      </c>
      <c r="L40" s="765">
        <f>+'Cash Flow'!BZ91</f>
        <v>0</v>
      </c>
      <c r="M40" s="765">
        <f>+'Cash Flow'!CA91</f>
        <v>0</v>
      </c>
      <c r="N40" s="765">
        <f>+'Cash Flow'!CB91</f>
        <v>0</v>
      </c>
      <c r="O40" s="765">
        <f>+'Cash Flow'!CC91</f>
        <v>0</v>
      </c>
      <c r="P40" s="765">
        <f>+'Cash Flow'!CD91</f>
        <v>129384.79396907208</v>
      </c>
    </row>
    <row r="41" spans="2:16" ht="51.65" customHeight="1" thickBot="1">
      <c r="B41" s="1088" t="s">
        <v>601</v>
      </c>
      <c r="C41" s="1087"/>
      <c r="D41" s="767"/>
      <c r="E41" s="768">
        <f>-E35</f>
        <v>-19625.890360824742</v>
      </c>
      <c r="F41" s="765">
        <f t="shared" ref="F41:P41" si="2">-F35</f>
        <v>-2125.8026408292644</v>
      </c>
      <c r="G41" s="765">
        <f t="shared" si="2"/>
        <v>-47125.802640645532</v>
      </c>
      <c r="H41" s="765">
        <f t="shared" si="2"/>
        <v>-6125.7083830253032</v>
      </c>
      <c r="I41" s="765">
        <f t="shared" si="2"/>
        <v>-3125.7000043727458</v>
      </c>
      <c r="J41" s="765">
        <f t="shared" si="2"/>
        <v>-21625.792167361637</v>
      </c>
      <c r="K41" s="765">
        <f t="shared" si="2"/>
        <v>-17125.759701041046</v>
      </c>
      <c r="L41" s="765">
        <f t="shared" si="2"/>
        <v>-2125.7303763800883</v>
      </c>
      <c r="M41" s="765">
        <f t="shared" si="2"/>
        <v>-2125.7712212874176</v>
      </c>
      <c r="N41" s="765">
        <f t="shared" si="2"/>
        <v>-6125.8026405797136</v>
      </c>
      <c r="O41" s="765">
        <f t="shared" si="2"/>
        <v>-3333.6284250310746</v>
      </c>
      <c r="P41" s="765">
        <f t="shared" si="2"/>
        <v>0</v>
      </c>
    </row>
    <row r="42" spans="2:16" ht="36" customHeight="1" thickBot="1">
      <c r="B42" s="1086" t="s">
        <v>647</v>
      </c>
      <c r="C42" s="1087"/>
      <c r="D42" s="767"/>
      <c r="E42" s="768">
        <v>0</v>
      </c>
      <c r="F42" s="765">
        <f>+'Cash Flow'!BS110</f>
        <v>278.50276447025323</v>
      </c>
      <c r="G42" s="765">
        <f>+'Cash Flow'!BT110</f>
        <v>253.81978468432231</v>
      </c>
      <c r="H42" s="765">
        <f>+'Cash Flow'!BU110</f>
        <v>197.05337461543203</v>
      </c>
      <c r="I42" s="765">
        <f>+'Cash Flow'!BV110</f>
        <v>135.49652255415717</v>
      </c>
      <c r="J42" s="765">
        <f>+'Cash Flow'!BW110</f>
        <v>125.03808052011557</v>
      </c>
      <c r="K42" s="765">
        <f>+'Cash Flow'!BX110</f>
        <v>96.504139790994671</v>
      </c>
      <c r="L42" s="765">
        <f>+'Cash Flow'!BY110</f>
        <v>51.599502569847239</v>
      </c>
      <c r="M42" s="765">
        <f>+'Cash Flow'!BZ110</f>
        <v>29.299721925252811</v>
      </c>
      <c r="N42" s="765">
        <f>+'Cash Flow'!CA110</f>
        <v>24.416737958620093</v>
      </c>
      <c r="O42" s="765">
        <f>+'Cash Flow'!CB110</f>
        <v>14.863963217482619</v>
      </c>
      <c r="P42" s="765">
        <f>+'Cash Flow'!CC110</f>
        <v>3.8822881033174399</v>
      </c>
    </row>
    <row r="43" spans="2:16" ht="57" customHeight="1" thickBot="1">
      <c r="B43" s="639" t="s">
        <v>290</v>
      </c>
      <c r="C43" s="639" t="str">
        <f>+OPTIMIZER!AV25</f>
        <v>JPMorgan 100% Treasuries Money Market Fund</v>
      </c>
      <c r="D43" s="760">
        <f>+OPTIMIZER!G25</f>
        <v>129384.79396907208</v>
      </c>
      <c r="E43" s="760">
        <f>+E9</f>
        <v>109758.90360824735</v>
      </c>
      <c r="F43" s="760">
        <f t="shared" ref="F43:P43" si="3">+F9</f>
        <v>107911.60373188833</v>
      </c>
      <c r="G43" s="760">
        <f t="shared" si="3"/>
        <v>61039.620875927125</v>
      </c>
      <c r="H43" s="760">
        <f t="shared" si="3"/>
        <v>55110.965867517254</v>
      </c>
      <c r="I43" s="760">
        <f t="shared" si="3"/>
        <v>52120.762385698668</v>
      </c>
      <c r="J43" s="760">
        <f t="shared" si="3"/>
        <v>30620.008298857145</v>
      </c>
      <c r="K43" s="760">
        <f t="shared" si="3"/>
        <v>13590.752737607094</v>
      </c>
      <c r="L43" s="760">
        <f t="shared" si="3"/>
        <v>11516.621863796852</v>
      </c>
      <c r="M43" s="760">
        <f t="shared" si="3"/>
        <v>9420.1503644346867</v>
      </c>
      <c r="N43" s="760">
        <f t="shared" si="3"/>
        <v>3318.7644618135928</v>
      </c>
      <c r="O43" s="760">
        <f t="shared" si="3"/>
        <v>0</v>
      </c>
      <c r="P43" s="760">
        <f t="shared" si="3"/>
        <v>129388.67625717539</v>
      </c>
    </row>
    <row r="44" spans="2:16" ht="16" customHeight="1" thickBot="1">
      <c r="E44"/>
      <c r="F44" s="766"/>
      <c r="G44" s="766"/>
      <c r="H44" s="766"/>
      <c r="I44" s="766"/>
      <c r="J44" s="766"/>
      <c r="K44" s="766"/>
      <c r="L44" s="766"/>
      <c r="M44" s="766"/>
      <c r="N44" s="766"/>
      <c r="O44" s="766"/>
      <c r="P44"/>
    </row>
    <row r="45" spans="2:16" ht="36" customHeight="1" thickBot="1">
      <c r="B45" s="1086" t="s">
        <v>603</v>
      </c>
      <c r="C45" s="1087"/>
      <c r="D45" s="767"/>
      <c r="E45" s="768">
        <f>+'Cash Flow'!BS97</f>
        <v>0</v>
      </c>
      <c r="F45" s="765">
        <f>+'Cash Flow'!BT97</f>
        <v>0</v>
      </c>
      <c r="G45" s="765">
        <f>+'Cash Flow'!BU97</f>
        <v>0</v>
      </c>
      <c r="H45" s="765">
        <f>+'Cash Flow'!BV97</f>
        <v>0</v>
      </c>
      <c r="I45" s="765">
        <f>+'Cash Flow'!BW97</f>
        <v>0</v>
      </c>
      <c r="J45" s="765">
        <f>+'Cash Flow'!BX97</f>
        <v>0</v>
      </c>
      <c r="K45" s="765">
        <f>+'Cash Flow'!BY97</f>
        <v>0</v>
      </c>
      <c r="L45" s="765">
        <f>+'Cash Flow'!BZ97</f>
        <v>0</v>
      </c>
      <c r="M45" s="765">
        <f>+'Cash Flow'!CA97</f>
        <v>0</v>
      </c>
      <c r="N45" s="765">
        <f>+'Cash Flow'!CB97</f>
        <v>0</v>
      </c>
      <c r="O45" s="765">
        <f>+'Cash Flow'!CC97</f>
        <v>0</v>
      </c>
      <c r="P45" s="765">
        <f>+'Cash Flow'!CD97</f>
        <v>67629.960000000079</v>
      </c>
    </row>
    <row r="46" spans="2:16" ht="51.65" customHeight="1" thickBot="1">
      <c r="B46" s="1088" t="s">
        <v>648</v>
      </c>
      <c r="C46" s="1087"/>
      <c r="D46" s="767"/>
      <c r="E46" s="768">
        <f>-E36</f>
        <v>0</v>
      </c>
      <c r="F46" s="765">
        <f t="shared" ref="F46:P46" si="4">-F36</f>
        <v>0</v>
      </c>
      <c r="G46" s="765">
        <f t="shared" si="4"/>
        <v>0</v>
      </c>
      <c r="H46" s="765">
        <f t="shared" si="4"/>
        <v>0</v>
      </c>
      <c r="I46" s="765">
        <f t="shared" si="4"/>
        <v>0</v>
      </c>
      <c r="J46" s="765">
        <f t="shared" si="4"/>
        <v>0</v>
      </c>
      <c r="K46" s="765">
        <f t="shared" si="4"/>
        <v>0</v>
      </c>
      <c r="L46" s="765">
        <f t="shared" si="4"/>
        <v>0</v>
      </c>
      <c r="M46" s="765">
        <f t="shared" si="4"/>
        <v>0</v>
      </c>
      <c r="N46" s="765">
        <f t="shared" si="4"/>
        <v>0</v>
      </c>
      <c r="O46" s="765">
        <f t="shared" si="4"/>
        <v>-26245.125837159325</v>
      </c>
      <c r="P46" s="765">
        <f t="shared" si="4"/>
        <v>0</v>
      </c>
    </row>
    <row r="47" spans="2:16" ht="36" customHeight="1" thickBot="1">
      <c r="B47" s="1086" t="s">
        <v>647</v>
      </c>
      <c r="C47" s="1087"/>
      <c r="D47" s="767"/>
      <c r="E47" s="768">
        <v>0</v>
      </c>
      <c r="F47" s="765">
        <f>+'Cash Flow'!BS116</f>
        <v>288.84375</v>
      </c>
      <c r="G47" s="765">
        <f>+'Cash Flow'!BT116</f>
        <v>289.46175532692712</v>
      </c>
      <c r="H47" s="765">
        <f>+'Cash Flow'!BU116</f>
        <v>290.08108297554253</v>
      </c>
      <c r="I47" s="765">
        <f>+'Cash Flow'!BV116</f>
        <v>290.70173569199574</v>
      </c>
      <c r="J47" s="765">
        <f>+'Cash Flow'!BW116</f>
        <v>291.32371626068306</v>
      </c>
      <c r="K47" s="765">
        <f>+'Cash Flow'!BX116</f>
        <v>291.94702757302053</v>
      </c>
      <c r="L47" s="765">
        <f>+'Cash Flow'!BY116</f>
        <v>292.57167252053904</v>
      </c>
      <c r="M47" s="765">
        <f>+'Cash Flow'!BZ116</f>
        <v>293.19765399476944</v>
      </c>
      <c r="N47" s="765">
        <f>+'Cash Flow'!CA116</f>
        <v>293.82497488724226</v>
      </c>
      <c r="O47" s="765">
        <f>+'Cash Flow'!CB116</f>
        <v>294.45363798250958</v>
      </c>
      <c r="P47" s="765">
        <f>+'Cash Flow'!CC116</f>
        <v>295.08364606500839</v>
      </c>
    </row>
    <row r="48" spans="2:16" ht="57" customHeight="1" thickBot="1">
      <c r="B48" s="720" t="s">
        <v>289</v>
      </c>
      <c r="C48" s="720" t="str">
        <f>+OPTIMIZER!AV26</f>
        <v>1 Year Treasuries + 2028 Muni Bonds</v>
      </c>
      <c r="D48" s="761">
        <f ca="1">+OPTIMIZER!G26</f>
        <v>194041.71121010487</v>
      </c>
      <c r="E48" s="761">
        <f>+E14</f>
        <v>135000</v>
      </c>
      <c r="F48" s="761">
        <f t="shared" ref="F48:P48" si="5">+F14</f>
        <v>135288.8438</v>
      </c>
      <c r="G48" s="761">
        <f t="shared" si="5"/>
        <v>135578.30559999999</v>
      </c>
      <c r="H48" s="761">
        <f t="shared" si="5"/>
        <v>135868.3867</v>
      </c>
      <c r="I48" s="761">
        <f t="shared" si="5"/>
        <v>136159.08840000001</v>
      </c>
      <c r="J48" s="761">
        <f t="shared" si="5"/>
        <v>136450.41209999999</v>
      </c>
      <c r="K48" s="761">
        <f t="shared" si="5"/>
        <v>136742.3591</v>
      </c>
      <c r="L48" s="761">
        <f t="shared" si="5"/>
        <v>137034.9308</v>
      </c>
      <c r="M48" s="761">
        <f t="shared" si="5"/>
        <v>137328.12849999999</v>
      </c>
      <c r="N48" s="761">
        <f t="shared" si="5"/>
        <v>137621.9535</v>
      </c>
      <c r="O48" s="761">
        <f t="shared" si="5"/>
        <v>137916.40710000001</v>
      </c>
      <c r="P48" s="761">
        <f t="shared" si="5"/>
        <v>138211.49069999999</v>
      </c>
    </row>
    <row r="49" spans="2:16" ht="16" customHeight="1" thickBot="1">
      <c r="E49"/>
      <c r="F49"/>
      <c r="G49"/>
      <c r="H49"/>
      <c r="I49"/>
      <c r="J49"/>
      <c r="K49" s="766"/>
      <c r="L49" s="766"/>
      <c r="M49" s="766"/>
      <c r="N49" s="766"/>
      <c r="O49" s="766"/>
      <c r="P49"/>
    </row>
    <row r="50" spans="2:16" ht="57" customHeight="1" thickBot="1">
      <c r="B50" s="670" t="s">
        <v>590</v>
      </c>
      <c r="C50" s="670" t="str">
        <f>+OPTIMIZER!AV27</f>
        <v>Growth equity market ETFs</v>
      </c>
      <c r="D50" s="762">
        <f ca="1">+OPTIMIZER!G27</f>
        <v>2672184.074820823</v>
      </c>
      <c r="E50" s="762">
        <f>+E19</f>
        <v>2524138.75</v>
      </c>
      <c r="F50" s="762">
        <f t="shared" ref="F50:P50" si="6">+F19</f>
        <v>2538862.8927083332</v>
      </c>
      <c r="G50" s="762">
        <f t="shared" si="6"/>
        <v>2553672.926249132</v>
      </c>
      <c r="H50" s="762">
        <f t="shared" si="6"/>
        <v>2568569.351652252</v>
      </c>
      <c r="I50" s="762">
        <f t="shared" si="6"/>
        <v>2583552.6728702234</v>
      </c>
      <c r="J50" s="762">
        <f t="shared" si="6"/>
        <v>2598623.3967952998</v>
      </c>
      <c r="K50" s="762">
        <f t="shared" si="6"/>
        <v>2613782.0332766059</v>
      </c>
      <c r="L50" s="762">
        <f t="shared" si="6"/>
        <v>2629029.0951373861</v>
      </c>
      <c r="M50" s="762">
        <f t="shared" si="6"/>
        <v>2644365.0981923542</v>
      </c>
      <c r="N50" s="762">
        <f t="shared" si="6"/>
        <v>2659790.5612651431</v>
      </c>
      <c r="O50" s="762">
        <f t="shared" si="6"/>
        <v>2675306.0062058563</v>
      </c>
      <c r="P50" s="762">
        <f t="shared" si="6"/>
        <v>2690911.957908724</v>
      </c>
    </row>
    <row r="51" spans="2:16" ht="16" customHeight="1" thickBot="1">
      <c r="E51"/>
      <c r="F51"/>
      <c r="G51"/>
      <c r="H51"/>
      <c r="I51"/>
      <c r="J51"/>
      <c r="K51"/>
      <c r="L51"/>
      <c r="M51"/>
      <c r="N51"/>
      <c r="O51"/>
      <c r="P51"/>
    </row>
    <row r="52" spans="2:16" ht="37" customHeight="1" thickBot="1">
      <c r="B52" s="747" t="s">
        <v>589</v>
      </c>
      <c r="C52" s="747"/>
      <c r="D52" s="747"/>
      <c r="E52" s="763">
        <f>+E24</f>
        <v>4643396.829639175</v>
      </c>
      <c r="F52" s="763">
        <f t="shared" ref="F52:P52" si="7">+F24</f>
        <v>4656656.3857246442</v>
      </c>
      <c r="G52" s="763">
        <f t="shared" si="7"/>
        <v>4669985.4800997274</v>
      </c>
      <c r="H52" s="763">
        <f t="shared" si="7"/>
        <v>4638398.725250084</v>
      </c>
      <c r="I52" s="763">
        <f t="shared" si="7"/>
        <v>4647860.2691896101</v>
      </c>
      <c r="J52" s="763">
        <f t="shared" si="7"/>
        <v>4660367.3255039947</v>
      </c>
      <c r="K52" s="763">
        <f t="shared" si="7"/>
        <v>4654455.8814376313</v>
      </c>
      <c r="L52" s="763">
        <f t="shared" si="7"/>
        <v>4653113.9183884831</v>
      </c>
      <c r="M52" s="763">
        <f t="shared" si="7"/>
        <v>4666830.6121509578</v>
      </c>
      <c r="N52" s="763">
        <f t="shared" si="7"/>
        <v>4680622.1857084315</v>
      </c>
      <c r="O52" s="763">
        <f t="shared" si="7"/>
        <v>4690501.255179706</v>
      </c>
      <c r="P52" s="763">
        <f t="shared" si="7"/>
        <v>4893652.7948130555</v>
      </c>
    </row>
  </sheetData>
  <mergeCells count="11">
    <mergeCell ref="B45:C45"/>
    <mergeCell ref="B46:C46"/>
    <mergeCell ref="B42:C42"/>
    <mergeCell ref="B47:C47"/>
    <mergeCell ref="B37:C37"/>
    <mergeCell ref="B41:C41"/>
    <mergeCell ref="B33:C33"/>
    <mergeCell ref="B34:C34"/>
    <mergeCell ref="B35:C35"/>
    <mergeCell ref="B36:C36"/>
    <mergeCell ref="B40:C4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D7ED8-BEC4-4134-ABC0-FAFCB55E3802}">
  <dimension ref="A1:X40"/>
  <sheetViews>
    <sheetView showGridLines="0" topLeftCell="J21" zoomScale="115" zoomScaleNormal="115" workbookViewId="0">
      <selection activeCell="O23" sqref="O23"/>
    </sheetView>
  </sheetViews>
  <sheetFormatPr defaultRowHeight="14.5"/>
  <cols>
    <col min="1" max="1" width="8.54296875" customWidth="1"/>
    <col min="2" max="6" width="15.81640625" style="171" customWidth="1"/>
    <col min="7" max="15" width="15.81640625" customWidth="1"/>
    <col min="16" max="26" width="16.1796875" customWidth="1"/>
  </cols>
  <sheetData>
    <row r="1" spans="1:24">
      <c r="A1" s="44"/>
      <c r="B1" s="812" t="s">
        <v>638</v>
      </c>
      <c r="C1" s="812" t="s">
        <v>634</v>
      </c>
      <c r="D1" s="812" t="s">
        <v>635</v>
      </c>
      <c r="E1" s="812" t="s">
        <v>636</v>
      </c>
      <c r="F1" s="812" t="s">
        <v>637</v>
      </c>
    </row>
    <row r="2" spans="1:24">
      <c r="B2" s="171" t="s">
        <v>418</v>
      </c>
      <c r="C2" s="171" t="str">
        <f>+'Cash Flow'!G5</f>
        <v>March</v>
      </c>
      <c r="D2" s="171" t="str">
        <f>+'Cash Flow'!J5</f>
        <v>June</v>
      </c>
      <c r="E2" s="171" t="str">
        <f>+'Cash Flow'!M5</f>
        <v>September</v>
      </c>
      <c r="F2" s="171" t="str">
        <f>+'Cash Flow'!P5</f>
        <v>December</v>
      </c>
    </row>
    <row r="3" spans="1:24">
      <c r="A3" s="1" t="s">
        <v>630</v>
      </c>
      <c r="B3" s="30"/>
      <c r="C3" s="813">
        <f>+B9</f>
        <v>193661.04840657217</v>
      </c>
      <c r="D3" s="813">
        <f t="shared" ref="D3:F3" si="0">+C9</f>
        <v>170513.11066584208</v>
      </c>
      <c r="E3" s="813">
        <f t="shared" si="0"/>
        <v>114492.89753593193</v>
      </c>
      <c r="F3" s="813">
        <f t="shared" si="0"/>
        <v>73720.909260138433</v>
      </c>
    </row>
    <row r="4" spans="1:24">
      <c r="A4" s="3" t="s">
        <v>73</v>
      </c>
      <c r="C4" s="811">
        <f>SUM('Cash Flow'!$E$16:$G$16)</f>
        <v>57170.322259269888</v>
      </c>
      <c r="D4" s="811">
        <f>SUM('Cash Flow'!$H$16:$J$16)</f>
        <v>56798.04687008982</v>
      </c>
      <c r="E4" s="811">
        <f>SUM('Cash Flow'!$K$16:$M$16)</f>
        <v>56546.271724206483</v>
      </c>
      <c r="F4" s="811">
        <f ca="1">SUM('Cash Flow'!$N$16:$P$16)</f>
        <v>279157.9442118443</v>
      </c>
    </row>
    <row r="5" spans="1:24">
      <c r="A5" s="3" t="s">
        <v>633</v>
      </c>
      <c r="C5" s="810">
        <f>+C12-SUM(C6:C8)</f>
        <v>-62818.25999999998</v>
      </c>
      <c r="D5" s="810">
        <f t="shared" ref="D5:F5" si="1">+D12-SUM(D6:D8)</f>
        <v>-67818.25999999998</v>
      </c>
      <c r="E5" s="810">
        <f t="shared" si="1"/>
        <v>-64818.25999999998</v>
      </c>
      <c r="F5" s="810">
        <f t="shared" si="1"/>
        <v>-74574.619999999966</v>
      </c>
    </row>
    <row r="6" spans="1:24">
      <c r="A6" s="3" t="s">
        <v>20</v>
      </c>
      <c r="C6" s="810">
        <f>SUM('Cash Flow'!$E$18:$G$18)+SUM('Cash Flow'!$E$27:$G$27)</f>
        <v>-17500</v>
      </c>
      <c r="D6" s="810">
        <f>SUM('Cash Flow'!$H$18:$J$18)+SUM('Cash Flow'!$H$27:$J$27)</f>
        <v>0</v>
      </c>
      <c r="E6" s="810">
        <f>SUM('Cash Flow'!$K$18:$M$18)+SUM('Cash Flow'!$K$27:$M$27)</f>
        <v>-17500</v>
      </c>
      <c r="F6" s="810">
        <f>SUM('Cash Flow'!$N$18:$P$18)+SUM('Cash Flow'!$N$27:$P$27)</f>
        <v>-4696.6000000000004</v>
      </c>
    </row>
    <row r="7" spans="1:24">
      <c r="A7" s="3" t="s">
        <v>35</v>
      </c>
      <c r="C7" s="810">
        <f>SUM('Cash Flow'!$E$50:$G$50)</f>
        <v>0</v>
      </c>
      <c r="D7" s="810">
        <f>SUM('Cash Flow'!$H$50:$J$50)</f>
        <v>-15000</v>
      </c>
      <c r="E7" s="810">
        <f>SUM('Cash Flow'!$K$50:$M$50)</f>
        <v>-15000</v>
      </c>
      <c r="F7" s="810">
        <f>SUM('Cash Flow'!$N$50:$P$50)</f>
        <v>-15000</v>
      </c>
    </row>
    <row r="8" spans="1:24">
      <c r="A8" s="3" t="s">
        <v>49</v>
      </c>
      <c r="C8" s="810">
        <f>SUM('Cash Flow'!$E$62:$G$62)</f>
        <v>0</v>
      </c>
      <c r="D8" s="810">
        <f>SUM('Cash Flow'!$H$62:$J$62)</f>
        <v>-30000</v>
      </c>
      <c r="E8" s="810">
        <f>SUM('Cash Flow'!$K$62:$M$62)</f>
        <v>0</v>
      </c>
      <c r="F8" s="810">
        <f>SUM('Cash Flow'!$N$62:$P$62)</f>
        <v>0</v>
      </c>
    </row>
    <row r="9" spans="1:24">
      <c r="A9" s="1" t="s">
        <v>631</v>
      </c>
      <c r="B9" s="813">
        <f>+'Cash Flow'!D67</f>
        <v>193661.04840657217</v>
      </c>
      <c r="C9" s="814">
        <f>SUM(C3:C8)</f>
        <v>170513.11066584208</v>
      </c>
      <c r="D9" s="814">
        <f t="shared" ref="D9:F9" si="2">SUM(D3:D8)</f>
        <v>114492.89753593193</v>
      </c>
      <c r="E9" s="814">
        <f t="shared" si="2"/>
        <v>73720.909260138433</v>
      </c>
      <c r="F9" s="814">
        <f t="shared" ca="1" si="2"/>
        <v>259999.3639225302</v>
      </c>
    </row>
    <row r="12" spans="1:24">
      <c r="A12" t="s">
        <v>632</v>
      </c>
      <c r="C12" s="810">
        <f>SUM('Cash Flow'!$E$63:$G$63)</f>
        <v>-80318.25999999998</v>
      </c>
      <c r="D12" s="810">
        <f>SUM('Cash Flow'!$H$63:$J$63)</f>
        <v>-112818.25999999998</v>
      </c>
      <c r="E12" s="810">
        <f>SUM('Cash Flow'!$K$63:$M$63)</f>
        <v>-97318.25999999998</v>
      </c>
      <c r="F12" s="810">
        <f>SUM('Cash Flow'!$N$63:$P$63)</f>
        <v>-94271.219999999972</v>
      </c>
      <c r="U12">
        <v>1000</v>
      </c>
    </row>
    <row r="14" spans="1:24">
      <c r="C14" s="812" t="str">
        <f>C1</f>
        <v>1Q2025</v>
      </c>
      <c r="D14" s="812"/>
      <c r="E14" s="812"/>
      <c r="G14" s="812" t="str">
        <f>D1</f>
        <v>2Q2025</v>
      </c>
      <c r="H14" s="44"/>
      <c r="I14" s="44"/>
      <c r="K14" s="812" t="str">
        <f>E1</f>
        <v>3Q2025</v>
      </c>
      <c r="L14" s="44"/>
      <c r="M14" s="44"/>
      <c r="O14" s="812" t="str">
        <f>+F1</f>
        <v>4Q2025</v>
      </c>
      <c r="P14" s="44"/>
      <c r="Q14" s="44"/>
    </row>
    <row r="15" spans="1:24" ht="29">
      <c r="B15" s="171" t="s">
        <v>630</v>
      </c>
      <c r="C15" s="171" t="s">
        <v>73</v>
      </c>
      <c r="D15" s="171" t="s">
        <v>633</v>
      </c>
      <c r="E15" s="171" t="s">
        <v>639</v>
      </c>
      <c r="F15" s="815">
        <v>45747</v>
      </c>
      <c r="G15" s="171" t="s">
        <v>73</v>
      </c>
      <c r="H15" s="171" t="s">
        <v>633</v>
      </c>
      <c r="I15" s="171" t="s">
        <v>639</v>
      </c>
      <c r="J15" s="815">
        <v>45838</v>
      </c>
      <c r="K15" s="171" t="s">
        <v>73</v>
      </c>
      <c r="L15" s="171" t="s">
        <v>633</v>
      </c>
      <c r="M15" s="171" t="s">
        <v>639</v>
      </c>
      <c r="N15" s="815">
        <v>45930</v>
      </c>
      <c r="O15" s="171" t="s">
        <v>73</v>
      </c>
      <c r="P15" s="171" t="s">
        <v>633</v>
      </c>
      <c r="Q15" s="171" t="s">
        <v>639</v>
      </c>
      <c r="R15" s="815">
        <v>46022</v>
      </c>
      <c r="T15" s="1018" t="s">
        <v>746</v>
      </c>
      <c r="U15" s="171" t="s">
        <v>286</v>
      </c>
      <c r="V15" s="171" t="s">
        <v>633</v>
      </c>
      <c r="W15" s="1018" t="s">
        <v>639</v>
      </c>
      <c r="X15" s="1021" t="s">
        <v>745</v>
      </c>
    </row>
    <row r="16" spans="1:24">
      <c r="A16" t="s">
        <v>31</v>
      </c>
      <c r="B16" s="810">
        <f>+B9</f>
        <v>193661.04840657217</v>
      </c>
      <c r="C16" s="811">
        <f>+C3</f>
        <v>193661.04840657217</v>
      </c>
      <c r="D16" s="810">
        <f>+C16+C17-D17</f>
        <v>188013.11066584208</v>
      </c>
      <c r="E16" s="810">
        <f>D16-E17</f>
        <v>170513.11066584208</v>
      </c>
      <c r="F16" s="810">
        <f>E16</f>
        <v>170513.11066584208</v>
      </c>
      <c r="G16" s="811">
        <f>+D3</f>
        <v>170513.11066584208</v>
      </c>
      <c r="H16" s="810">
        <f>+G16+G17-H17</f>
        <v>159492.89753593193</v>
      </c>
      <c r="I16" s="810">
        <f>H16-I17</f>
        <v>114492.89753593193</v>
      </c>
      <c r="J16" s="810">
        <f>I16</f>
        <v>114492.89753593193</v>
      </c>
      <c r="K16" s="811">
        <f>+E3</f>
        <v>114492.89753593193</v>
      </c>
      <c r="L16" s="810">
        <f>+K16+K17-L17</f>
        <v>106220.90926013843</v>
      </c>
      <c r="M16" s="810">
        <f>L16-M17</f>
        <v>73720.909260138433</v>
      </c>
      <c r="N16" s="810">
        <f>M16</f>
        <v>73720.909260138433</v>
      </c>
      <c r="O16" s="811">
        <f>+F3</f>
        <v>73720.909260138433</v>
      </c>
      <c r="P16" s="810">
        <f ca="1">+O16+O17-P17</f>
        <v>279695.96392253018</v>
      </c>
      <c r="Q16" s="810">
        <f ca="1">P16-Q17</f>
        <v>259999.36392253017</v>
      </c>
      <c r="R16" s="810">
        <f ca="1">Q16</f>
        <v>259999.36392253017</v>
      </c>
      <c r="T16" s="1019">
        <f>(+B16)/1000</f>
        <v>193.66104840657218</v>
      </c>
      <c r="U16" s="7">
        <f>+T16</f>
        <v>193.66104840657218</v>
      </c>
      <c r="V16" s="810">
        <f ca="1">+U16+U17-V17</f>
        <v>374.69596392253027</v>
      </c>
      <c r="W16" s="810">
        <f ca="1">V16-W17</f>
        <v>259.99936392253028</v>
      </c>
      <c r="X16" s="1019">
        <f ca="1">W16</f>
        <v>259.99936392253028</v>
      </c>
    </row>
    <row r="17" spans="1:23">
      <c r="C17" s="811">
        <f>+C4</f>
        <v>57170.322259269888</v>
      </c>
      <c r="D17" s="810">
        <f>-C5</f>
        <v>62818.25999999998</v>
      </c>
      <c r="E17" s="810">
        <f>-C6-C7-C8</f>
        <v>17500</v>
      </c>
      <c r="G17" s="811">
        <f>+D4</f>
        <v>56798.04687008982</v>
      </c>
      <c r="H17" s="810">
        <f>-D5</f>
        <v>67818.25999999998</v>
      </c>
      <c r="I17" s="810">
        <f>-D6-D7-D8</f>
        <v>45000</v>
      </c>
      <c r="K17" s="811">
        <f>+E4</f>
        <v>56546.271724206483</v>
      </c>
      <c r="L17" s="810">
        <f>-E5</f>
        <v>64818.25999999998</v>
      </c>
      <c r="M17" s="810">
        <f>-E6-E7-E8</f>
        <v>32500</v>
      </c>
      <c r="O17" s="811">
        <f ca="1">+F4</f>
        <v>279157.9442118443</v>
      </c>
      <c r="P17" s="810">
        <f>-F5</f>
        <v>74574.619999999966</v>
      </c>
      <c r="Q17" s="810">
        <f>-F6-F7-F8</f>
        <v>19696.599999999999</v>
      </c>
      <c r="U17" s="7">
        <f ca="1">(+C17+G17+K17+O17)/1000</f>
        <v>451.06431551595801</v>
      </c>
      <c r="V17" s="7">
        <f>(+D17+H17+L17+P17)/1000</f>
        <v>270.0293999999999</v>
      </c>
      <c r="W17" s="7">
        <f>(+E17+I17+M17+Q17)/1000</f>
        <v>114.6966</v>
      </c>
    </row>
    <row r="18" spans="1:23">
      <c r="C18" s="811"/>
      <c r="D18" s="810"/>
      <c r="E18" s="810"/>
      <c r="G18" s="811"/>
      <c r="H18" s="810"/>
      <c r="I18" s="810"/>
      <c r="K18" s="811"/>
      <c r="L18" s="810"/>
      <c r="M18" s="810"/>
      <c r="O18" s="811"/>
      <c r="P18" s="810"/>
      <c r="Q18" s="810"/>
      <c r="U18" s="7"/>
      <c r="V18" s="7"/>
      <c r="W18" s="7"/>
    </row>
    <row r="19" spans="1:23">
      <c r="A19" t="s">
        <v>640</v>
      </c>
      <c r="C19" s="816">
        <f>+C17</f>
        <v>57170.322259269888</v>
      </c>
      <c r="D19" s="816">
        <f>-D17</f>
        <v>-62818.25999999998</v>
      </c>
      <c r="E19" s="816">
        <f>-E17</f>
        <v>-17500</v>
      </c>
      <c r="G19" s="816">
        <f>+G17</f>
        <v>56798.04687008982</v>
      </c>
      <c r="H19" s="816">
        <f>-H17</f>
        <v>-67818.25999999998</v>
      </c>
      <c r="I19" s="816">
        <f>-I17</f>
        <v>-45000</v>
      </c>
      <c r="K19" s="816">
        <f>+K17</f>
        <v>56546.271724206483</v>
      </c>
      <c r="L19" s="816">
        <f>-L17</f>
        <v>-64818.25999999998</v>
      </c>
      <c r="M19" s="816">
        <f>-M17</f>
        <v>-32500</v>
      </c>
      <c r="O19" s="816">
        <f ca="1">+O17</f>
        <v>279157.9442118443</v>
      </c>
      <c r="P19" s="816">
        <f>-P17</f>
        <v>-74574.619999999966</v>
      </c>
      <c r="Q19" s="816">
        <f>-Q17</f>
        <v>-19696.599999999999</v>
      </c>
      <c r="U19" s="1019">
        <f ca="1">(+C19+G19+K19+O19)/1000</f>
        <v>451.06431551595801</v>
      </c>
      <c r="V19" s="1020">
        <f>-V17</f>
        <v>-270.0293999999999</v>
      </c>
      <c r="W19" s="1020">
        <f>-W17</f>
        <v>-114.6966</v>
      </c>
    </row>
    <row r="23" spans="1:23" ht="22.5" customHeight="1"/>
    <row r="24" spans="1:23" ht="22.5" customHeight="1"/>
    <row r="25" spans="1:23" ht="22.5" customHeight="1"/>
    <row r="26" spans="1:23" ht="22.5" customHeight="1"/>
    <row r="27" spans="1:23" ht="22.5" customHeight="1"/>
    <row r="28" spans="1:23" ht="22.5" customHeight="1"/>
    <row r="29" spans="1:23" ht="22.5" customHeight="1"/>
    <row r="30" spans="1:23" ht="22.5" customHeight="1"/>
    <row r="31" spans="1:23" ht="22.5" customHeight="1"/>
    <row r="32" spans="1:23" ht="22.5" customHeight="1"/>
    <row r="33" ht="22.5" customHeight="1"/>
    <row r="34" ht="22.5" customHeight="1"/>
    <row r="35" ht="22.5" customHeight="1"/>
    <row r="36" ht="22.5" customHeight="1"/>
    <row r="37" ht="22.5" customHeight="1"/>
    <row r="38" ht="22.5" customHeight="1"/>
    <row r="39" ht="22.5" customHeight="1"/>
    <row r="40" ht="22.5" customHeight="1"/>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DF8D-B2EF-419D-89EA-128C5130BB0C}">
  <dimension ref="A1:N108"/>
  <sheetViews>
    <sheetView showGridLines="0" topLeftCell="A50" zoomScale="70" zoomScaleNormal="70" workbookViewId="0">
      <selection activeCell="C82" sqref="C82"/>
    </sheetView>
  </sheetViews>
  <sheetFormatPr defaultRowHeight="14.5" outlineLevelRow="1" outlineLevelCol="1"/>
  <cols>
    <col min="1" max="1" width="25.453125" customWidth="1"/>
    <col min="2" max="2" width="10.26953125" customWidth="1"/>
    <col min="3" max="3" width="52.26953125" customWidth="1"/>
    <col min="4" max="4" width="22.1796875" customWidth="1"/>
    <col min="5" max="5" width="16" customWidth="1"/>
    <col min="6" max="7" width="22" hidden="1" customWidth="1" outlineLevel="1"/>
    <col min="8" max="8" width="22.54296875" customWidth="1" collapsed="1"/>
    <col min="13" max="13" width="39.1796875" customWidth="1"/>
    <col min="14" max="14" width="29.7265625" customWidth="1"/>
  </cols>
  <sheetData>
    <row r="1" spans="1:14" s="44" customFormat="1" ht="32.5">
      <c r="C1" s="791" t="s">
        <v>620</v>
      </c>
      <c r="E1" s="792"/>
    </row>
    <row r="2" spans="1:14" ht="15" thickBot="1"/>
    <row r="3" spans="1:14" ht="30" customHeight="1" thickBot="1">
      <c r="A3" s="802"/>
      <c r="B3" s="803"/>
      <c r="C3" s="639" t="s">
        <v>325</v>
      </c>
      <c r="D3" s="644" t="s">
        <v>38</v>
      </c>
      <c r="H3" s="658" t="s">
        <v>282</v>
      </c>
    </row>
    <row r="4" spans="1:14" ht="30" customHeight="1" thickBot="1">
      <c r="A4" s="817" t="s">
        <v>627</v>
      </c>
      <c r="B4" s="804"/>
      <c r="C4" s="798" t="str">
        <f>+'Balance Sheet'!A14</f>
        <v>Cash</v>
      </c>
      <c r="D4" s="647">
        <f>+'Balance Sheet'!B14</f>
        <v>372050</v>
      </c>
      <c r="G4" s="646"/>
      <c r="H4" s="794">
        <f t="shared" ref="H4:H11" si="0">+D4/$D$11</f>
        <v>6.2044008638300355E-2</v>
      </c>
    </row>
    <row r="5" spans="1:14" ht="38.5" customHeight="1" thickBot="1">
      <c r="A5" s="817" t="s">
        <v>628</v>
      </c>
      <c r="B5" s="805"/>
      <c r="C5" s="798" t="s">
        <v>621</v>
      </c>
      <c r="D5" s="660">
        <f>+'Balance Sheet'!B19</f>
        <v>1644500</v>
      </c>
      <c r="F5" s="646"/>
      <c r="G5" s="646"/>
      <c r="H5" s="794">
        <f t="shared" si="0"/>
        <v>0.27424102192093786</v>
      </c>
    </row>
    <row r="6" spans="1:14" ht="30" customHeight="1" thickBot="1">
      <c r="A6" s="818" t="s">
        <v>629</v>
      </c>
      <c r="B6" s="806"/>
      <c r="C6" s="797" t="str">
        <f>+'Balance Sheet'!A33</f>
        <v>Real Estate</v>
      </c>
      <c r="D6" s="660">
        <f>+'Balance Sheet'!B33</f>
        <v>1815000</v>
      </c>
      <c r="F6" s="646"/>
      <c r="G6" s="646"/>
      <c r="H6" s="794">
        <f t="shared" si="0"/>
        <v>0.30267403757160366</v>
      </c>
    </row>
    <row r="7" spans="1:14" ht="30" customHeight="1" thickBot="1">
      <c r="A7" s="1090" t="s">
        <v>626</v>
      </c>
      <c r="B7" s="1089"/>
      <c r="C7" s="796" t="str">
        <f>+'Balance Sheet'!A22</f>
        <v>Alternative Assets</v>
      </c>
      <c r="D7" s="660">
        <f>+'Balance Sheet'!B22</f>
        <v>250000</v>
      </c>
      <c r="H7" s="794">
        <f t="shared" si="0"/>
        <v>4.1690638783967449E-2</v>
      </c>
      <c r="M7" s="819" t="s">
        <v>28</v>
      </c>
      <c r="N7" s="820">
        <f>+D11</f>
        <v>5996550</v>
      </c>
    </row>
    <row r="8" spans="1:14" ht="30" customHeight="1" thickBot="1">
      <c r="A8" s="1091"/>
      <c r="B8" s="1089"/>
      <c r="C8" s="796" t="str">
        <f>+'Balance Sheet'!A26</f>
        <v>Carry</v>
      </c>
      <c r="D8" s="660">
        <f>+'Balance Sheet'!B26</f>
        <v>835000</v>
      </c>
      <c r="H8" s="794">
        <f t="shared" si="0"/>
        <v>0.13924673353845127</v>
      </c>
      <c r="M8" s="819" t="s">
        <v>625</v>
      </c>
      <c r="N8" s="820">
        <f>-D19</f>
        <v>-1348166.03</v>
      </c>
    </row>
    <row r="9" spans="1:14" ht="30" customHeight="1" thickBot="1">
      <c r="A9" s="1091"/>
      <c r="B9" s="1089"/>
      <c r="C9" s="796" t="str">
        <f>+'Balance Sheet'!A28</f>
        <v>Stock Compensation</v>
      </c>
      <c r="D9" s="660">
        <f>+'Balance Sheet'!B28</f>
        <v>80000</v>
      </c>
      <c r="H9" s="794">
        <f t="shared" si="0"/>
        <v>1.3341004410869583E-2</v>
      </c>
      <c r="M9" s="841" t="s">
        <v>643</v>
      </c>
      <c r="N9" s="1093">
        <f>SUM(N7:N8)</f>
        <v>4648383.97</v>
      </c>
    </row>
    <row r="10" spans="1:14" ht="30" customHeight="1" thickBot="1">
      <c r="A10" s="1092"/>
      <c r="B10" s="806"/>
      <c r="C10" s="796" t="str">
        <f>+'Balance Sheet'!A36</f>
        <v>Retirement</v>
      </c>
      <c r="D10" s="793">
        <f>+'Balance Sheet'!B36</f>
        <v>1000000</v>
      </c>
      <c r="H10" s="794">
        <f t="shared" si="0"/>
        <v>0.16676255513586979</v>
      </c>
      <c r="M10" s="842" t="s">
        <v>642</v>
      </c>
      <c r="N10" s="1094"/>
    </row>
    <row r="11" spans="1:14" ht="30" customHeight="1" thickBot="1">
      <c r="A11" s="807"/>
      <c r="B11" s="806"/>
      <c r="C11" s="799" t="str">
        <f>+'Balance Sheet'!A37</f>
        <v>Total Assets</v>
      </c>
      <c r="D11" s="800">
        <f>+'Balance Sheet'!B37</f>
        <v>5996550</v>
      </c>
      <c r="E11" t="b">
        <f>+D11=SUM(D4:D10)</f>
        <v>1</v>
      </c>
      <c r="H11" s="795">
        <f t="shared" si="0"/>
        <v>1</v>
      </c>
    </row>
    <row r="12" spans="1:14" ht="10.5" customHeight="1" thickBot="1">
      <c r="A12" s="807"/>
      <c r="B12" s="806"/>
      <c r="C12" s="659"/>
      <c r="D12" s="647"/>
      <c r="H12" s="794"/>
    </row>
    <row r="13" spans="1:14" ht="30" customHeight="1" thickBot="1">
      <c r="A13" s="802"/>
      <c r="B13" s="803"/>
      <c r="C13" s="639" t="s">
        <v>325</v>
      </c>
      <c r="D13" s="644" t="s">
        <v>38</v>
      </c>
      <c r="H13" s="658" t="s">
        <v>282</v>
      </c>
    </row>
    <row r="14" spans="1:14" ht="30" customHeight="1" thickBot="1">
      <c r="A14" s="807"/>
      <c r="B14" s="806"/>
      <c r="C14" s="659" t="str">
        <f>+'Balance Sheet'!A43</f>
        <v>Credit Cards / Lines of Credit</v>
      </c>
      <c r="D14" s="647">
        <f>+'Balance Sheet'!B43</f>
        <v>11466.03</v>
      </c>
      <c r="H14" s="794">
        <f t="shared" ref="H14:H19" si="1">+D14/$D$19</f>
        <v>8.5049094435349342E-3</v>
      </c>
    </row>
    <row r="15" spans="1:14" ht="30" customHeight="1" thickBot="1">
      <c r="A15" s="807"/>
      <c r="B15" s="806"/>
      <c r="C15" s="659" t="str">
        <f>+'Balance Sheet'!A47</f>
        <v>Student Loans</v>
      </c>
      <c r="D15" s="660">
        <f>+'Balance Sheet'!B47</f>
        <v>69700</v>
      </c>
      <c r="H15" s="794">
        <f t="shared" si="1"/>
        <v>5.1699863702989166E-2</v>
      </c>
    </row>
    <row r="16" spans="1:14" ht="30" customHeight="1" thickBot="1">
      <c r="A16" s="807"/>
      <c r="B16" s="806"/>
      <c r="C16" s="659" t="str">
        <f>+'Balance Sheet'!A50</f>
        <v>Mortgages</v>
      </c>
      <c r="D16" s="660">
        <f>+'Balance Sheet'!B50</f>
        <v>1092000</v>
      </c>
      <c r="H16" s="794">
        <f t="shared" si="1"/>
        <v>0.80998925629360352</v>
      </c>
    </row>
    <row r="17" spans="1:14" ht="30" customHeight="1" thickBot="1">
      <c r="A17" s="807"/>
      <c r="B17" s="806"/>
      <c r="C17" s="659" t="str">
        <f>+'Balance Sheet'!A51</f>
        <v>Professional Loans (Private Equity)</v>
      </c>
      <c r="D17" s="660">
        <f>+'Balance Sheet'!B51</f>
        <v>125000</v>
      </c>
      <c r="H17" s="794">
        <f t="shared" si="1"/>
        <v>9.2718550399908825E-2</v>
      </c>
    </row>
    <row r="18" spans="1:14" ht="30" customHeight="1" thickBot="1">
      <c r="A18" s="807"/>
      <c r="B18" s="806"/>
      <c r="C18" s="659" t="str">
        <f>+'Balance Sheet'!A54</f>
        <v>Remaining Capital Commitment</v>
      </c>
      <c r="D18" s="660">
        <f>+'Balance Sheet'!B54</f>
        <v>50000</v>
      </c>
      <c r="H18" s="794">
        <f t="shared" si="1"/>
        <v>3.7087420159963531E-2</v>
      </c>
    </row>
    <row r="19" spans="1:14" ht="30" customHeight="1" thickBot="1">
      <c r="A19" s="808"/>
      <c r="B19" s="809"/>
      <c r="C19" s="799" t="str">
        <f>+'Balance Sheet'!A55</f>
        <v>Total Liabilities</v>
      </c>
      <c r="D19" s="801">
        <f>+'Balance Sheet'!B55</f>
        <v>1348166.03</v>
      </c>
      <c r="E19" t="b">
        <f>SUM(D14:D18)=D19</f>
        <v>1</v>
      </c>
      <c r="H19" s="795">
        <f t="shared" si="1"/>
        <v>1</v>
      </c>
    </row>
    <row r="20" spans="1:14" ht="30" customHeight="1"/>
    <row r="21" spans="1:14" ht="30" customHeight="1"/>
    <row r="22" spans="1:14" ht="30" customHeight="1"/>
    <row r="23" spans="1:14" ht="34" customHeight="1"/>
    <row r="25" spans="1:14" s="44" customFormat="1" ht="32.5">
      <c r="C25" s="791" t="s">
        <v>619</v>
      </c>
      <c r="E25" s="792"/>
    </row>
    <row r="26" spans="1:14" ht="15" thickBot="1"/>
    <row r="27" spans="1:14" ht="42" customHeight="1" thickBot="1">
      <c r="C27" s="639" t="s">
        <v>552</v>
      </c>
      <c r="D27" s="644" t="s">
        <v>38</v>
      </c>
      <c r="E27" s="658" t="s">
        <v>114</v>
      </c>
      <c r="H27" s="642" t="s">
        <v>553</v>
      </c>
    </row>
    <row r="28" spans="1:14" ht="25.5" customHeight="1" thickBot="1">
      <c r="C28" s="659" t="str">
        <f>'Balance Sheet'!A7</f>
        <v>Chase Total Checking</v>
      </c>
      <c r="D28" s="647">
        <f>'Balance Sheet'!B7</f>
        <v>25050</v>
      </c>
      <c r="E28" s="661">
        <f>'Balance Sheet'!E7</f>
        <v>5.0000000000000001E-4</v>
      </c>
      <c r="G28" s="646"/>
      <c r="H28" s="664" t="s">
        <v>575</v>
      </c>
      <c r="N28" s="646"/>
    </row>
    <row r="29" spans="1:14" ht="25.5" customHeight="1" thickBot="1">
      <c r="C29" s="659" t="str">
        <f>'Balance Sheet'!A8</f>
        <v>Citizens Private Banking Checking</v>
      </c>
      <c r="D29" s="660">
        <f>'Balance Sheet'!B8</f>
        <v>107000</v>
      </c>
      <c r="E29" s="661">
        <f>'Balance Sheet'!E8</f>
        <v>0</v>
      </c>
      <c r="F29" s="646"/>
      <c r="G29" s="646"/>
      <c r="H29" s="777" t="s">
        <v>682</v>
      </c>
    </row>
    <row r="30" spans="1:14" ht="25.5" customHeight="1" thickBot="1">
      <c r="C30" s="640" t="str">
        <f>'Balance Sheet'!A9</f>
        <v>Checking Bank Accounts</v>
      </c>
      <c r="D30" s="648">
        <f>'Balance Sheet'!B9</f>
        <v>132050</v>
      </c>
      <c r="E30" s="662">
        <f>'Balance Sheet'!E9</f>
        <v>9.4850435441120784E-5</v>
      </c>
      <c r="F30" s="646"/>
      <c r="G30" s="646"/>
      <c r="H30" s="663"/>
    </row>
    <row r="31" spans="1:14" ht="25.5" customHeight="1" thickBot="1">
      <c r="C31" s="659" t="str">
        <f>'Balance Sheet'!A10</f>
        <v>Citizens Private Bank Money Market</v>
      </c>
      <c r="D31" s="660">
        <f>'Balance Sheet'!B10</f>
        <v>225000</v>
      </c>
      <c r="E31" s="661">
        <f>'Balance Sheet'!E10</f>
        <v>3.6499999999999998E-2</v>
      </c>
      <c r="H31" s="777" t="s">
        <v>682</v>
      </c>
    </row>
    <row r="32" spans="1:14" ht="25.5" customHeight="1" thickBot="1">
      <c r="C32" s="659" t="str">
        <f>'Balance Sheet'!A11</f>
        <v>CapitalOne 360 Perf Savings</v>
      </c>
      <c r="D32" s="660">
        <f>'Balance Sheet'!B11</f>
        <v>15000</v>
      </c>
      <c r="E32" s="661">
        <f>'Balance Sheet'!E11</f>
        <v>3.78E-2</v>
      </c>
      <c r="F32" s="646"/>
      <c r="G32" s="646"/>
      <c r="H32" s="664"/>
    </row>
    <row r="33" spans="3:8" ht="25.5" hidden="1" customHeight="1" outlineLevel="1" thickBot="1">
      <c r="C33" s="641" t="str">
        <f>'Balance Sheet'!A12</f>
        <v>[Savings 3 Placeholder]</v>
      </c>
      <c r="D33" s="660">
        <f>'Balance Sheet'!B12</f>
        <v>0</v>
      </c>
      <c r="E33" s="661">
        <f>'Balance Sheet'!E12</f>
        <v>0</v>
      </c>
      <c r="F33" s="646"/>
      <c r="G33" s="646"/>
      <c r="H33" s="664"/>
    </row>
    <row r="34" spans="3:8" ht="25.5" customHeight="1" collapsed="1" thickBot="1">
      <c r="C34" s="640" t="str">
        <f>'Balance Sheet'!A13</f>
        <v>Savings &amp; Money Market Accounts</v>
      </c>
      <c r="D34" s="648">
        <f>'Balance Sheet'!B13</f>
        <v>240000</v>
      </c>
      <c r="E34" s="662">
        <f>'Balance Sheet'!E13</f>
        <v>3.6581250000000003E-2</v>
      </c>
      <c r="F34" s="646"/>
      <c r="G34" s="646"/>
      <c r="H34" s="663"/>
    </row>
    <row r="35" spans="3:8" ht="25.5" customHeight="1" thickBot="1">
      <c r="C35" s="643" t="str">
        <f>'Balance Sheet'!A14</f>
        <v>Cash</v>
      </c>
      <c r="D35" s="645">
        <f>'Balance Sheet'!B14</f>
        <v>372050</v>
      </c>
      <c r="E35" s="665">
        <f>'Balance Sheet'!E14</f>
        <v>2.363129955651122E-2</v>
      </c>
      <c r="F35" s="646"/>
      <c r="G35" s="646"/>
      <c r="H35" s="666"/>
    </row>
    <row r="36" spans="3:8" ht="25.5" hidden="1" customHeight="1" outlineLevel="1" thickBot="1">
      <c r="C36" s="659" t="str">
        <f>'Balance Sheet'!A15</f>
        <v>Treasuries</v>
      </c>
      <c r="D36" s="660">
        <f>'Balance Sheet'!B15</f>
        <v>135000</v>
      </c>
      <c r="E36" s="661">
        <f>'Balance Sheet'!E15</f>
        <v>3.95E-2</v>
      </c>
      <c r="F36" s="646"/>
      <c r="G36" s="646"/>
      <c r="H36" s="664"/>
    </row>
    <row r="37" spans="3:8" ht="25.5" hidden="1" customHeight="1" outlineLevel="1" thickBot="1">
      <c r="C37" s="659" t="str">
        <f>'Balance Sheet'!A16</f>
        <v>ETFs/ Mutual Funds</v>
      </c>
      <c r="D37" s="660">
        <f>'Balance Sheet'!B16</f>
        <v>1201688.5660081687</v>
      </c>
      <c r="E37" s="661">
        <f>'Balance Sheet'!E16</f>
        <v>0</v>
      </c>
      <c r="F37" s="646"/>
      <c r="G37" s="646"/>
      <c r="H37" s="664"/>
    </row>
    <row r="38" spans="3:8" ht="25.5" hidden="1" customHeight="1" outlineLevel="1" thickBot="1">
      <c r="C38" s="659" t="str">
        <f>'Balance Sheet'!A17</f>
        <v>Crypto</v>
      </c>
      <c r="D38" s="660">
        <f>'Balance Sheet'!B17</f>
        <v>9500</v>
      </c>
      <c r="E38" s="661">
        <f>'Balance Sheet'!E17</f>
        <v>0</v>
      </c>
      <c r="F38" s="646"/>
      <c r="G38" s="646"/>
      <c r="H38" s="664"/>
    </row>
    <row r="39" spans="3:8" ht="25.5" hidden="1" customHeight="1" outlineLevel="1" thickBot="1">
      <c r="C39" s="659" t="str">
        <f>'Balance Sheet'!A18</f>
        <v>Single Stock</v>
      </c>
      <c r="D39" s="660">
        <f>'Balance Sheet'!B18</f>
        <v>298311.4339918312</v>
      </c>
      <c r="E39" s="661" t="s">
        <v>554</v>
      </c>
      <c r="F39" s="646"/>
      <c r="G39" s="646"/>
      <c r="H39" s="664"/>
    </row>
    <row r="40" spans="3:8" ht="25.5" customHeight="1" collapsed="1" thickBot="1">
      <c r="C40" s="685" t="str">
        <f>'Balance Sheet'!A19</f>
        <v>Fidelity Taxable Brokerage</v>
      </c>
      <c r="D40" s="694">
        <f>'Balance Sheet'!B19</f>
        <v>1644500</v>
      </c>
      <c r="E40" s="683" t="s">
        <v>554</v>
      </c>
      <c r="F40" s="646"/>
      <c r="G40" s="646"/>
      <c r="H40" s="684"/>
    </row>
    <row r="41" spans="3:8" ht="25.5" customHeight="1" thickBot="1">
      <c r="C41" s="659" t="str">
        <f>'Balance Sheet'!A20</f>
        <v>Private Equity Fund 1</v>
      </c>
      <c r="D41" s="660">
        <f>'Balance Sheet'!B20</f>
        <v>75000</v>
      </c>
      <c r="E41" s="661" t="s">
        <v>554</v>
      </c>
      <c r="F41" s="646"/>
      <c r="G41" s="646"/>
      <c r="H41" s="664"/>
    </row>
    <row r="42" spans="3:8" ht="25.5" customHeight="1" thickBot="1">
      <c r="C42" s="659" t="str">
        <f>'Balance Sheet'!A21</f>
        <v>Private Equity Fund 2</v>
      </c>
      <c r="D42" s="660">
        <f>'Balance Sheet'!B21</f>
        <v>175000</v>
      </c>
      <c r="E42" s="661" t="s">
        <v>554</v>
      </c>
      <c r="F42" s="646"/>
      <c r="G42" s="646"/>
      <c r="H42" s="664"/>
    </row>
    <row r="43" spans="3:8" ht="25.5" customHeight="1" thickBot="1">
      <c r="C43" s="640" t="str">
        <f>'Balance Sheet'!A22</f>
        <v>Alternative Assets</v>
      </c>
      <c r="D43" s="648">
        <f>'Balance Sheet'!B22</f>
        <v>250000</v>
      </c>
      <c r="E43" s="662" t="s">
        <v>554</v>
      </c>
      <c r="F43" s="646"/>
      <c r="G43" s="646"/>
      <c r="H43" s="663"/>
    </row>
    <row r="44" spans="3:8" ht="25.5" customHeight="1" thickBot="1">
      <c r="C44" s="686" t="str">
        <f>'Balance Sheet'!A23</f>
        <v>Investments</v>
      </c>
      <c r="D44" s="687">
        <f>'Balance Sheet'!B23</f>
        <v>1894500</v>
      </c>
      <c r="E44" s="688" t="s">
        <v>554</v>
      </c>
      <c r="F44" s="646"/>
      <c r="G44" s="646"/>
      <c r="H44" s="689"/>
    </row>
    <row r="45" spans="3:8" ht="25.5" customHeight="1" thickBot="1">
      <c r="C45" s="659" t="str">
        <f>'Balance Sheet'!A24</f>
        <v>Carry Private Equity Fund 1</v>
      </c>
      <c r="D45" s="660">
        <f>'Balance Sheet'!B24</f>
        <v>325000</v>
      </c>
      <c r="E45" s="661" t="s">
        <v>554</v>
      </c>
      <c r="F45" s="646"/>
      <c r="G45" s="646"/>
      <c r="H45" s="664"/>
    </row>
    <row r="46" spans="3:8" ht="25.5" customHeight="1" thickBot="1">
      <c r="C46" s="681" t="str">
        <f>'Balance Sheet'!A25</f>
        <v>Carry Private Equity Fund 2</v>
      </c>
      <c r="D46" s="682">
        <f>'Balance Sheet'!B25</f>
        <v>510000</v>
      </c>
      <c r="E46" s="683" t="s">
        <v>554</v>
      </c>
      <c r="F46" s="646"/>
      <c r="G46" s="646"/>
      <c r="H46" s="663"/>
    </row>
    <row r="47" spans="3:8" ht="25.5" customHeight="1" thickBot="1">
      <c r="C47" s="685" t="str">
        <f>'Balance Sheet'!A26</f>
        <v>Carry</v>
      </c>
      <c r="D47" s="694">
        <f>'Balance Sheet'!B26</f>
        <v>835000</v>
      </c>
      <c r="E47" s="683" t="s">
        <v>554</v>
      </c>
      <c r="F47" s="646"/>
      <c r="G47" s="646"/>
      <c r="H47" s="690"/>
    </row>
    <row r="48" spans="3:8" ht="25.5" customHeight="1" thickBot="1">
      <c r="C48" s="659" t="str">
        <f>'Balance Sheet'!A27</f>
        <v>Goldman RSUs</v>
      </c>
      <c r="D48" s="660">
        <f>'Balance Sheet'!B27</f>
        <v>80000</v>
      </c>
      <c r="E48" s="661" t="s">
        <v>554</v>
      </c>
      <c r="F48" s="646"/>
      <c r="G48" s="646"/>
      <c r="H48" s="664"/>
    </row>
    <row r="49" spans="3:8" ht="25.5" customHeight="1" thickBot="1">
      <c r="C49" s="686" t="str">
        <f>'Balance Sheet'!A29</f>
        <v>Carry and RSUs</v>
      </c>
      <c r="D49" s="687">
        <f>'Balance Sheet'!B29</f>
        <v>915000</v>
      </c>
      <c r="E49" s="688" t="s">
        <v>554</v>
      </c>
      <c r="F49" s="646"/>
      <c r="G49" s="646"/>
      <c r="H49" s="689"/>
    </row>
    <row r="50" spans="3:8" ht="25.5" customHeight="1" thickBot="1">
      <c r="C50" s="659" t="str">
        <f>'Balance Sheet'!A31</f>
        <v>Tribeca (Primary)</v>
      </c>
      <c r="D50" s="660">
        <f>'Balance Sheet'!B31</f>
        <v>1525000</v>
      </c>
      <c r="E50" s="661"/>
      <c r="F50" s="646"/>
      <c r="G50" s="646"/>
      <c r="H50" s="664"/>
    </row>
    <row r="51" spans="3:8" ht="21.5" thickBot="1">
      <c r="C51" s="659" t="str">
        <f>'Balance Sheet'!A32</f>
        <v>Sarasota (Investment)</v>
      </c>
      <c r="D51" s="660">
        <f>'Balance Sheet'!B32</f>
        <v>290000</v>
      </c>
      <c r="E51" s="661">
        <f>+'Cash Flow'!R36</f>
        <v>3.6339720279720295E-2</v>
      </c>
      <c r="F51" s="646"/>
      <c r="G51" s="646"/>
      <c r="H51" s="777" t="s">
        <v>608</v>
      </c>
    </row>
    <row r="52" spans="3:8" ht="25.5" customHeight="1" thickBot="1">
      <c r="C52" s="686" t="str">
        <f>'Balance Sheet'!A33</f>
        <v>Real Estate</v>
      </c>
      <c r="D52" s="691">
        <f>'Balance Sheet'!B33</f>
        <v>1815000</v>
      </c>
      <c r="E52" s="692" t="s">
        <v>554</v>
      </c>
      <c r="F52" s="646"/>
      <c r="G52" s="646"/>
      <c r="H52" s="693"/>
    </row>
    <row r="53" spans="3:8" ht="42.65" hidden="1" customHeight="1" outlineLevel="1" thickBot="1">
      <c r="C53" s="639" t="s">
        <v>555</v>
      </c>
      <c r="D53" s="644" t="s">
        <v>38</v>
      </c>
      <c r="E53" s="658" t="s">
        <v>114</v>
      </c>
      <c r="H53" s="642" t="s">
        <v>553</v>
      </c>
    </row>
    <row r="54" spans="3:8" ht="25.5" customHeight="1" collapsed="1" thickBot="1">
      <c r="C54" s="681" t="str">
        <f>'Balance Sheet'!A34</f>
        <v>Fidelity 401(k) / IRA</v>
      </c>
      <c r="D54" s="682">
        <f>'Balance Sheet'!B34</f>
        <v>620000</v>
      </c>
      <c r="E54" s="683" t="s">
        <v>554</v>
      </c>
      <c r="F54" s="646"/>
      <c r="G54" s="646"/>
      <c r="H54" s="684"/>
    </row>
    <row r="55" spans="3:8" ht="25.5" customHeight="1" thickBot="1">
      <c r="C55" s="659" t="str">
        <f>'Balance Sheet'!A35</f>
        <v>Fidelity Roth IRA</v>
      </c>
      <c r="D55" s="660">
        <f>'Balance Sheet'!B35</f>
        <v>380000</v>
      </c>
      <c r="E55" s="661" t="s">
        <v>554</v>
      </c>
      <c r="F55" s="646"/>
      <c r="G55" s="646"/>
      <c r="H55" s="664"/>
    </row>
    <row r="56" spans="3:8" ht="25.5" customHeight="1" thickBot="1">
      <c r="C56" s="686" t="str">
        <f>'Balance Sheet'!A36</f>
        <v>Retirement</v>
      </c>
      <c r="D56" s="691">
        <f>'Balance Sheet'!B36</f>
        <v>1000000</v>
      </c>
      <c r="E56" s="692" t="s">
        <v>554</v>
      </c>
      <c r="F56" s="646"/>
      <c r="G56" s="646"/>
      <c r="H56" s="693"/>
    </row>
    <row r="57" spans="3:8" ht="25.5" customHeight="1" thickBot="1">
      <c r="C57" s="695" t="str">
        <f>'Balance Sheet'!A37</f>
        <v>Total Assets</v>
      </c>
      <c r="D57" s="696">
        <f>'Balance Sheet'!B37</f>
        <v>5996550</v>
      </c>
      <c r="E57" s="774" t="s">
        <v>554</v>
      </c>
      <c r="F57" s="775"/>
      <c r="G57" s="775"/>
      <c r="H57" s="776"/>
    </row>
    <row r="58" spans="3:8" ht="7" customHeight="1" thickBot="1"/>
    <row r="59" spans="3:8" ht="42" customHeight="1" thickBot="1">
      <c r="C59" s="697" t="s">
        <v>556</v>
      </c>
      <c r="D59" s="698" t="s">
        <v>38</v>
      </c>
      <c r="E59" s="699" t="s">
        <v>557</v>
      </c>
      <c r="H59" s="700" t="s">
        <v>553</v>
      </c>
    </row>
    <row r="60" spans="3:8" ht="25.5" customHeight="1" thickBot="1">
      <c r="C60" s="659" t="str">
        <f>'Balance Sheet'!A40</f>
        <v>Chase Sapphire Preferred</v>
      </c>
      <c r="D60" s="660">
        <f>'Balance Sheet'!B40</f>
        <v>3671.14</v>
      </c>
      <c r="E60" s="702">
        <f>+'Balance Sheet'!E40</f>
        <v>0</v>
      </c>
      <c r="F60" s="646"/>
      <c r="G60" s="646"/>
      <c r="H60" s="710" t="s">
        <v>577</v>
      </c>
    </row>
    <row r="61" spans="3:8" ht="25.5" customHeight="1" thickBot="1">
      <c r="C61" s="681" t="str">
        <f>'Balance Sheet'!A41</f>
        <v>Amex Gold</v>
      </c>
      <c r="D61" s="682">
        <f>'Balance Sheet'!B41</f>
        <v>5794.89</v>
      </c>
      <c r="E61" s="702">
        <f>+'Balance Sheet'!E41</f>
        <v>0</v>
      </c>
      <c r="F61" s="646"/>
      <c r="G61" s="646"/>
      <c r="H61" s="663"/>
    </row>
    <row r="62" spans="3:8" ht="25.5" customHeight="1" thickBot="1">
      <c r="C62" s="659" t="str">
        <f>'Balance Sheet'!A42</f>
        <v>Amazon Card</v>
      </c>
      <c r="D62" s="667">
        <f>'Balance Sheet'!B42</f>
        <v>2000</v>
      </c>
      <c r="E62" s="702">
        <f>+'Balance Sheet'!E42</f>
        <v>0</v>
      </c>
      <c r="F62" s="646"/>
      <c r="G62" s="646"/>
      <c r="H62" s="664"/>
    </row>
    <row r="63" spans="3:8" ht="25.5" hidden="1" customHeight="1" thickBot="1">
      <c r="C63" s="640" t="e">
        <f>'Balance Sheet'!#REF!</f>
        <v>#REF!</v>
      </c>
      <c r="D63" s="648" t="e">
        <f>'Balance Sheet'!#REF!</f>
        <v>#REF!</v>
      </c>
      <c r="E63" s="662" t="s">
        <v>554</v>
      </c>
      <c r="F63" s="646"/>
      <c r="G63" s="646"/>
      <c r="H63" s="663"/>
    </row>
    <row r="64" spans="3:8" ht="25.5" customHeight="1" collapsed="1" thickBot="1">
      <c r="C64" s="643" t="str">
        <f>'Balance Sheet'!A43</f>
        <v>Credit Cards / Lines of Credit</v>
      </c>
      <c r="D64" s="645">
        <f>'Balance Sheet'!B43</f>
        <v>11466.03</v>
      </c>
      <c r="E64" s="703">
        <f>+'Balance Sheet'!E44</f>
        <v>0</v>
      </c>
      <c r="F64" s="646"/>
      <c r="G64" s="646"/>
      <c r="H64" s="669"/>
    </row>
    <row r="65" spans="3:8" ht="25.5" customHeight="1" thickBot="1">
      <c r="C65" s="659" t="str">
        <f>'Balance Sheet'!A45</f>
        <v>Undergrad</v>
      </c>
      <c r="D65" s="667">
        <f>'Balance Sheet'!B45</f>
        <v>11200</v>
      </c>
      <c r="E65" s="661">
        <f>+'Balance Sheet'!E45</f>
        <v>3.4000000000000002E-2</v>
      </c>
      <c r="F65" s="646"/>
      <c r="G65" s="646"/>
      <c r="H65" s="664"/>
    </row>
    <row r="66" spans="3:8" ht="25.5" customHeight="1" thickBot="1">
      <c r="C66" s="659" t="str">
        <f>'Balance Sheet'!A46</f>
        <v>Graduate</v>
      </c>
      <c r="D66" s="667">
        <f>'Balance Sheet'!B46</f>
        <v>58500</v>
      </c>
      <c r="E66" s="661">
        <f>+'Balance Sheet'!E46</f>
        <v>4.4999999999999998E-2</v>
      </c>
      <c r="F66" s="646"/>
      <c r="G66" s="646"/>
      <c r="H66" s="664"/>
    </row>
    <row r="67" spans="3:8" ht="25.5" customHeight="1" collapsed="1" thickBot="1">
      <c r="C67" s="643" t="str">
        <f>'Balance Sheet'!A47</f>
        <v>Student Loans</v>
      </c>
      <c r="D67" s="645">
        <f>'Balance Sheet'!B47</f>
        <v>69700</v>
      </c>
      <c r="E67" s="668">
        <f>+'Balance Sheet'!I47</f>
        <v>4.323242467718795E-2</v>
      </c>
      <c r="F67" s="646"/>
      <c r="G67" s="646"/>
      <c r="H67" s="669"/>
    </row>
    <row r="68" spans="3:8" ht="25.5" customHeight="1" thickBot="1">
      <c r="C68" s="659" t="str">
        <f>'Balance Sheet'!A48</f>
        <v>Tribeca (Primary)</v>
      </c>
      <c r="D68" s="667">
        <f>'Balance Sheet'!B48</f>
        <v>944999.99999999988</v>
      </c>
      <c r="E68" s="661">
        <f>+'Balance Sheet'!E48</f>
        <v>3.15E-2</v>
      </c>
      <c r="F68" s="646"/>
      <c r="G68" s="646"/>
      <c r="H68" s="710" t="s">
        <v>576</v>
      </c>
    </row>
    <row r="69" spans="3:8" ht="21.5" thickBot="1">
      <c r="C69" s="659" t="str">
        <f>'Balance Sheet'!A49</f>
        <v>Sarasota (Investment)</v>
      </c>
      <c r="D69" s="660">
        <f>'Balance Sheet'!B49</f>
        <v>147000</v>
      </c>
      <c r="E69" s="661">
        <f>+'Balance Sheet'!E49</f>
        <v>2.5499999999999998E-2</v>
      </c>
      <c r="H69" s="664"/>
    </row>
    <row r="70" spans="3:8" ht="25.5" customHeight="1" thickBot="1">
      <c r="C70" s="643" t="str">
        <f>'Balance Sheet'!A50</f>
        <v>Mortgages</v>
      </c>
      <c r="D70" s="645">
        <f>'Balance Sheet'!B50</f>
        <v>1092000</v>
      </c>
      <c r="E70" s="668">
        <f>+'Balance Sheet'!E50</f>
        <v>3.0692307692307685E-2</v>
      </c>
      <c r="F70" s="646"/>
      <c r="G70" s="646"/>
      <c r="H70" s="669"/>
    </row>
    <row r="71" spans="3:8" ht="25.5" customHeight="1" thickBot="1">
      <c r="C71" s="643" t="str">
        <f>'Balance Sheet'!A51</f>
        <v>Professional Loans (Private Equity)</v>
      </c>
      <c r="D71" s="645">
        <f>'Balance Sheet'!B51</f>
        <v>125000</v>
      </c>
      <c r="E71" s="668">
        <f>+'Balance Sheet'!E51</f>
        <v>6.5000000000000002E-2</v>
      </c>
      <c r="F71" s="646"/>
      <c r="G71" s="646"/>
      <c r="H71" s="669"/>
    </row>
    <row r="72" spans="3:8" ht="25" customHeight="1" thickBot="1">
      <c r="C72" s="659" t="str">
        <f>'Balance Sheet'!A52</f>
        <v>Private Equity Fund 1</v>
      </c>
      <c r="D72" s="660">
        <f>'Balance Sheet'!B52</f>
        <v>0</v>
      </c>
      <c r="E72" s="702">
        <f>+'Balance Sheet'!E52</f>
        <v>0</v>
      </c>
      <c r="H72" s="661"/>
    </row>
    <row r="73" spans="3:8" ht="25" customHeight="1" thickBot="1">
      <c r="C73" s="659" t="str">
        <f>'Balance Sheet'!A53</f>
        <v>Private Equity Fund 2</v>
      </c>
      <c r="D73" s="660">
        <f>'Balance Sheet'!B53</f>
        <v>50000</v>
      </c>
      <c r="E73" s="702">
        <f>+'Balance Sheet'!E53</f>
        <v>0</v>
      </c>
      <c r="H73" s="661"/>
    </row>
    <row r="74" spans="3:8" ht="25.5" customHeight="1" thickBot="1">
      <c r="C74" s="643" t="str">
        <f>'Balance Sheet'!A54</f>
        <v>Remaining Capital Commitment</v>
      </c>
      <c r="D74" s="645">
        <f>'Balance Sheet'!B54</f>
        <v>50000</v>
      </c>
      <c r="E74" s="703">
        <f>+'Balance Sheet'!E54</f>
        <v>0</v>
      </c>
      <c r="F74" s="646"/>
      <c r="G74" s="646"/>
      <c r="H74" s="669"/>
    </row>
    <row r="75" spans="3:8" ht="25" customHeight="1" collapsed="1" thickBot="1">
      <c r="C75" s="670" t="str">
        <f>'Balance Sheet'!A55</f>
        <v>Total Liabilities</v>
      </c>
      <c r="D75" s="671">
        <f>'Balance Sheet'!B55</f>
        <v>1348166.03</v>
      </c>
      <c r="E75" s="672">
        <f>+'Balance Sheet'!E55</f>
        <v>2.7095549944987113E-2</v>
      </c>
      <c r="F75" s="673"/>
      <c r="G75" s="673"/>
      <c r="H75" s="674"/>
    </row>
    <row r="76" spans="3:8" ht="12.65" customHeight="1" thickBot="1"/>
    <row r="77" spans="3:8" ht="25" customHeight="1" thickBot="1">
      <c r="C77" s="675" t="str">
        <f>'Balance Sheet'!A56</f>
        <v>Net Worth</v>
      </c>
      <c r="D77" s="676">
        <f>'Balance Sheet'!B56</f>
        <v>4648383.97</v>
      </c>
      <c r="E77" s="677"/>
      <c r="F77" s="678"/>
      <c r="G77" s="678"/>
      <c r="H77" s="679"/>
    </row>
    <row r="78" spans="3:8">
      <c r="E78" s="680"/>
    </row>
    <row r="79" spans="3:8" s="44" customFormat="1" ht="32.5">
      <c r="C79" s="791" t="s">
        <v>618</v>
      </c>
      <c r="E79" s="792"/>
    </row>
    <row r="80" spans="3:8" ht="15" thickBot="1">
      <c r="E80" s="680"/>
    </row>
    <row r="81" spans="3:8" ht="35.25" customHeight="1" thickBot="1">
      <c r="C81" s="639" t="s">
        <v>325</v>
      </c>
      <c r="D81" s="644" t="s">
        <v>38</v>
      </c>
      <c r="E81" s="642" t="s">
        <v>541</v>
      </c>
      <c r="H81" s="642" t="s">
        <v>114</v>
      </c>
    </row>
    <row r="82" spans="3:8" ht="25.5" customHeight="1" thickBot="1">
      <c r="C82" s="711" t="str">
        <f>+C28</f>
        <v>Chase Total Checking</v>
      </c>
      <c r="D82" s="647">
        <f>+D28</f>
        <v>25050</v>
      </c>
      <c r="E82" s="753">
        <f ca="1">D82/$D$105</f>
        <v>4.1774020061535379E-3</v>
      </c>
      <c r="F82" s="646"/>
      <c r="G82" s="646"/>
      <c r="H82" s="661">
        <f>+E28</f>
        <v>5.0000000000000001E-4</v>
      </c>
    </row>
    <row r="83" spans="3:8" ht="25.5" customHeight="1" thickBot="1">
      <c r="C83" s="711" t="str">
        <f t="shared" ref="C83" si="2">+C29</f>
        <v>Citizens Private Banking Checking</v>
      </c>
      <c r="D83" s="647">
        <f>+D29</f>
        <v>107000</v>
      </c>
      <c r="E83" s="753">
        <f t="shared" ref="E83:E104" ca="1" si="3">D83/$D$105</f>
        <v>1.7843593399538067E-2</v>
      </c>
      <c r="F83" s="646"/>
      <c r="G83" s="646"/>
      <c r="H83" s="661">
        <f>+E29</f>
        <v>0</v>
      </c>
    </row>
    <row r="84" spans="3:8" ht="25.5" customHeight="1" thickBot="1">
      <c r="C84" s="712" t="s">
        <v>257</v>
      </c>
      <c r="D84" s="713">
        <f>SUM(D82:D83)</f>
        <v>132050</v>
      </c>
      <c r="E84" s="714">
        <f t="shared" ca="1" si="3"/>
        <v>2.2020995405691607E-2</v>
      </c>
      <c r="F84" s="646"/>
      <c r="G84" s="646"/>
      <c r="H84" s="715">
        <f>SUMPRODUCT(H82:H83,D82:D83)/D84</f>
        <v>9.4850435441120784E-5</v>
      </c>
    </row>
    <row r="85" spans="3:8" ht="25.5" customHeight="1" thickBot="1">
      <c r="C85" s="711" t="str">
        <f>+C31</f>
        <v>Citizens Private Bank Money Market</v>
      </c>
      <c r="D85" s="647">
        <f>+D31</f>
        <v>225000</v>
      </c>
      <c r="E85" s="753">
        <f t="shared" ca="1" si="3"/>
        <v>3.7521574905570704E-2</v>
      </c>
      <c r="F85" s="646"/>
      <c r="G85" s="646"/>
      <c r="H85" s="661">
        <f>+E31</f>
        <v>3.6499999999999998E-2</v>
      </c>
    </row>
    <row r="86" spans="3:8" ht="25.5" customHeight="1" thickBot="1">
      <c r="C86" s="711" t="str">
        <f>+C32</f>
        <v>CapitalOne 360 Perf Savings</v>
      </c>
      <c r="D86" s="647">
        <f>+D32</f>
        <v>15000</v>
      </c>
      <c r="E86" s="753">
        <f t="shared" ca="1" si="3"/>
        <v>2.5014383270380467E-3</v>
      </c>
      <c r="F86" s="646"/>
      <c r="G86" s="646"/>
      <c r="H86" s="661">
        <f>+E32</f>
        <v>3.78E-2</v>
      </c>
    </row>
    <row r="87" spans="3:8" ht="25.5" customHeight="1" thickBot="1">
      <c r="C87" s="639" t="s">
        <v>290</v>
      </c>
      <c r="D87" s="716">
        <f>SUM(D85:D86)</f>
        <v>240000</v>
      </c>
      <c r="E87" s="717">
        <f t="shared" ca="1" si="3"/>
        <v>4.0023013232608748E-2</v>
      </c>
      <c r="H87" s="719">
        <f>SUMPRODUCT(H85:H86,D85:D86)/D87</f>
        <v>3.6581250000000003E-2</v>
      </c>
    </row>
    <row r="88" spans="3:8" ht="25.5" customHeight="1" thickBot="1">
      <c r="C88" s="711" t="str">
        <f>+C40&amp;" "&amp;C36</f>
        <v>Fidelity Taxable Brokerage Treasuries</v>
      </c>
      <c r="D88" s="647">
        <f>+D36</f>
        <v>135000</v>
      </c>
      <c r="E88" s="753">
        <f t="shared" ca="1" si="3"/>
        <v>2.2512944943342422E-2</v>
      </c>
      <c r="F88" s="718" t="s">
        <v>141</v>
      </c>
      <c r="G88" s="718" t="s">
        <v>29</v>
      </c>
      <c r="H88" s="661">
        <f>+'Balance Sheet'!E15</f>
        <v>3.95E-2</v>
      </c>
    </row>
    <row r="89" spans="3:8" ht="25.5" customHeight="1" thickBot="1">
      <c r="C89" s="720" t="s">
        <v>289</v>
      </c>
      <c r="D89" s="721">
        <f>+D88</f>
        <v>135000</v>
      </c>
      <c r="E89" s="722">
        <f t="shared" ca="1" si="3"/>
        <v>2.2512944943342422E-2</v>
      </c>
      <c r="F89" s="752">
        <f ca="1">F98+F97+F90+F99</f>
        <v>1509500</v>
      </c>
      <c r="G89" s="752">
        <f>G98+G97+G90+G99</f>
        <v>999999.99999999977</v>
      </c>
      <c r="H89" s="723"/>
    </row>
    <row r="90" spans="3:8" ht="25.5" customHeight="1" thickBot="1">
      <c r="C90" s="628" t="s">
        <v>3</v>
      </c>
      <c r="D90" s="648">
        <f t="shared" ref="D90:D99" ca="1" si="4">+SUM(F90:G90)</f>
        <v>222965.43304876564</v>
      </c>
      <c r="E90" s="754">
        <f t="shared" ca="1" si="3"/>
        <v>3.7182285322187862E-2</v>
      </c>
      <c r="F90" s="649">
        <f ca="1">SUMIF(Charts!$AB$103:$AB$112,'MoneyBoard - Balance Sheet'!C90,Charts!$AC$103:$AC$112)</f>
        <v>186585.93342009356</v>
      </c>
      <c r="G90" s="649">
        <f>SUMIF(Charts!$AA$124:$AA$131,'MoneyBoard - Balance Sheet'!C90,Charts!$AB$124:$AB$131)</f>
        <v>36379.499628672078</v>
      </c>
      <c r="H90" s="648"/>
    </row>
    <row r="91" spans="3:8" ht="25.5" customHeight="1" thickBot="1">
      <c r="C91" s="641" t="str">
        <f>+Charts!AB104</f>
        <v>International</v>
      </c>
      <c r="D91" s="647">
        <f t="shared" ca="1" si="4"/>
        <v>244684.55087427894</v>
      </c>
      <c r="E91" s="753">
        <f t="shared" ca="1" si="3"/>
        <v>4.080422090606748E-2</v>
      </c>
      <c r="F91" s="650">
        <f ca="1">SUMIF(Charts!$AB$103:$AB$112,'MoneyBoard - Balance Sheet'!C91,Charts!$AC$103:$AC$112)</f>
        <v>116538.30066575776</v>
      </c>
      <c r="G91" s="650">
        <f>SUMIF(Charts!$AA$124:$AA$131,'MoneyBoard - Balance Sheet'!C91,Charts!$AB$124:$AB$131)</f>
        <v>128146.25020852119</v>
      </c>
      <c r="H91" s="647"/>
    </row>
    <row r="92" spans="3:8" ht="25.5" customHeight="1" thickBot="1">
      <c r="C92" s="641" t="str">
        <f>+Charts!AB105</f>
        <v>US Total Market</v>
      </c>
      <c r="D92" s="647">
        <f t="shared" ca="1" si="4"/>
        <v>779877.58423793013</v>
      </c>
      <c r="E92" s="753">
        <f t="shared" ca="1" si="3"/>
        <v>0.13005437864070676</v>
      </c>
      <c r="F92" s="650">
        <f ca="1">SUMIF(Charts!$AB$103:$AB$112,'MoneyBoard - Balance Sheet'!C92,Charts!$AC$103:$AC$112)</f>
        <v>379877.58423793013</v>
      </c>
      <c r="G92" s="650">
        <f>SUMIF(Charts!$AA$124:$AA$131,'MoneyBoard - Balance Sheet'!C92,Charts!$AB$124:$AB$131)</f>
        <v>400000</v>
      </c>
      <c r="H92" s="647"/>
    </row>
    <row r="93" spans="3:8" ht="25.5" customHeight="1" thickBot="1">
      <c r="C93" s="641" t="str">
        <f>+Charts!AB106</f>
        <v>US Large Cap</v>
      </c>
      <c r="D93" s="647">
        <f t="shared" ca="1" si="4"/>
        <v>535000</v>
      </c>
      <c r="E93" s="753">
        <f t="shared" ca="1" si="3"/>
        <v>8.9217966997690343E-2</v>
      </c>
      <c r="F93" s="650">
        <f ca="1">SUMIF(Charts!$AB$103:$AB$112,'MoneyBoard - Balance Sheet'!C93,Charts!$AC$103:$AC$112)</f>
        <v>435000</v>
      </c>
      <c r="G93" s="650">
        <f>SUMIF(Charts!$AA$124:$AA$131,'MoneyBoard - Balance Sheet'!C93,Charts!$AB$124:$AB$131)</f>
        <v>100000</v>
      </c>
      <c r="H93" s="647"/>
    </row>
    <row r="94" spans="3:8" ht="25.5" customHeight="1" thickBot="1">
      <c r="C94" s="641" t="str">
        <f>+Charts!AB107</f>
        <v>US Small Cap</v>
      </c>
      <c r="D94" s="647">
        <f t="shared" ca="1" si="4"/>
        <v>323582.23090794199</v>
      </c>
      <c r="E94" s="753">
        <f t="shared" ca="1" si="3"/>
        <v>5.396139962277343E-2</v>
      </c>
      <c r="F94" s="650">
        <f ca="1">SUMIF(Charts!$AB$103:$AB$112,'MoneyBoard - Balance Sheet'!C94,Charts!$AC$103:$AC$112)</f>
        <v>49317.756246552664</v>
      </c>
      <c r="G94" s="650">
        <f>SUMIF(Charts!$AA$124:$AA$131,'MoneyBoard - Balance Sheet'!C94,Charts!$AB$124:$AB$131)</f>
        <v>274264.47466138931</v>
      </c>
      <c r="H94" s="647"/>
    </row>
    <row r="95" spans="3:8" ht="25.5" customHeight="1" thickBot="1">
      <c r="C95" s="641" t="str">
        <f>+Charts!AB108</f>
        <v>US Dividend / Value</v>
      </c>
      <c r="D95" s="647">
        <f t="shared" ca="1" si="4"/>
        <v>94368.991437834629</v>
      </c>
      <c r="E95" s="753">
        <f t="shared" ca="1" si="3"/>
        <v>1.573721413776832E-2</v>
      </c>
      <c r="F95" s="650">
        <f ca="1">SUMIF(Charts!$AB$103:$AB$112,'MoneyBoard - Balance Sheet'!C95,Charts!$AC$103:$AC$112)</f>
        <v>94368.991437834629</v>
      </c>
      <c r="G95" s="650">
        <f>SUMIF(Charts!$AA$124:$AA$131,'MoneyBoard - Balance Sheet'!C95,Charts!$AB$124:$AB$131)</f>
        <v>0</v>
      </c>
      <c r="H95" s="647"/>
    </row>
    <row r="96" spans="3:8" ht="25.5" customHeight="1" thickBot="1">
      <c r="C96" s="641" t="s">
        <v>183</v>
      </c>
      <c r="D96" s="647">
        <f t="shared" ca="1" si="4"/>
        <v>238311.4339918312</v>
      </c>
      <c r="E96" s="753">
        <f t="shared" ca="1" si="3"/>
        <v>3.9741423650570942E-2</v>
      </c>
      <c r="F96" s="650">
        <f ca="1">SUM(D107:D108)</f>
        <v>238311.4339918312</v>
      </c>
      <c r="G96" s="650">
        <f>SUM(F107:F108)</f>
        <v>0</v>
      </c>
      <c r="H96" s="647"/>
    </row>
    <row r="97" spans="3:8" ht="25.5" customHeight="1" thickBot="1">
      <c r="C97" s="628" t="s">
        <v>540</v>
      </c>
      <c r="D97" s="648">
        <f ca="1">+SUM(F97:G97)</f>
        <v>2215824.7914498169</v>
      </c>
      <c r="E97" s="754">
        <f t="shared" ca="1" si="3"/>
        <v>0.36951660395557728</v>
      </c>
      <c r="F97" s="649">
        <f ca="1">SUM(F91:F96)</f>
        <v>1313414.0665799065</v>
      </c>
      <c r="G97" s="649">
        <f>SUM(G91:G96)</f>
        <v>902410.72486991039</v>
      </c>
      <c r="H97" s="648"/>
    </row>
    <row r="98" spans="3:8" ht="25.5" customHeight="1" thickBot="1">
      <c r="C98" s="628" t="s">
        <v>310</v>
      </c>
      <c r="D98" s="648">
        <f t="shared" si="4"/>
        <v>61209.775501417389</v>
      </c>
      <c r="E98" s="754">
        <f t="shared" ca="1" si="3"/>
        <v>1.0207498561909329E-2</v>
      </c>
      <c r="F98" s="649">
        <f>SUMIF(Charts!$AB$103:$AB$112,'MoneyBoard - Balance Sheet'!C98,Charts!$AC$103:$AC$112)</f>
        <v>0</v>
      </c>
      <c r="G98" s="649">
        <f>SUMIF(Charts!$AA$124:$AA$131,'MoneyBoard - Balance Sheet'!C98,Charts!$AB$124:$AB$131)</f>
        <v>61209.775501417389</v>
      </c>
      <c r="H98" s="648"/>
    </row>
    <row r="99" spans="3:8" ht="25.5" customHeight="1" thickBot="1">
      <c r="C99" s="628" t="str">
        <f>+Charts!AB111</f>
        <v>Crypto</v>
      </c>
      <c r="D99" s="648">
        <f t="shared" ca="1" si="4"/>
        <v>9500</v>
      </c>
      <c r="E99" s="753">
        <f t="shared" ca="1" si="3"/>
        <v>1.5842442737907631E-3</v>
      </c>
      <c r="F99" s="649">
        <f ca="1">SUMIF(Charts!$AB$103:$AB$112,'MoneyBoard - Balance Sheet'!C99,Charts!$AC$103:$AC$112)</f>
        <v>9500</v>
      </c>
      <c r="G99" s="649">
        <f>SUMIF(Charts!$AA$124:$AA$131,'MoneyBoard - Balance Sheet'!C99,Charts!$AB$124:$AB$131)</f>
        <v>0</v>
      </c>
      <c r="H99" s="647"/>
    </row>
    <row r="100" spans="3:8" ht="21.5" thickBot="1">
      <c r="C100" s="670" t="s">
        <v>291</v>
      </c>
      <c r="D100" s="724">
        <f ca="1">D90+D97+D98+D99</f>
        <v>2509500</v>
      </c>
      <c r="E100" s="725">
        <f t="shared" ca="1" si="3"/>
        <v>0.41849063211346527</v>
      </c>
      <c r="F100" s="724">
        <f t="shared" ref="F100:G100" ca="1" si="5">F90+F97+F98+F99</f>
        <v>1509500</v>
      </c>
      <c r="G100" s="724">
        <f t="shared" si="5"/>
        <v>999999.99999999977</v>
      </c>
      <c r="H100" s="726" t="s">
        <v>554</v>
      </c>
    </row>
    <row r="101" spans="3:8" s="551" customFormat="1" ht="25.5" customHeight="1">
      <c r="C101" s="727" t="s">
        <v>579</v>
      </c>
      <c r="D101" s="728"/>
      <c r="E101" s="729"/>
      <c r="F101" s="730"/>
      <c r="G101" s="730"/>
      <c r="H101" s="731"/>
    </row>
    <row r="102" spans="3:8" s="551" customFormat="1" ht="25.5" customHeight="1">
      <c r="C102" s="732" t="s">
        <v>518</v>
      </c>
      <c r="D102" s="733">
        <f ca="1">F100</f>
        <v>1509500</v>
      </c>
      <c r="E102" s="734">
        <f t="shared" ca="1" si="3"/>
        <v>0.25172807697759547</v>
      </c>
      <c r="F102" s="735"/>
      <c r="G102" s="735"/>
      <c r="H102" s="736"/>
    </row>
    <row r="103" spans="3:8" s="551" customFormat="1" ht="25.5" customHeight="1" thickBot="1">
      <c r="C103" s="737" t="s">
        <v>519</v>
      </c>
      <c r="D103" s="738">
        <f>G100</f>
        <v>999999.99999999977</v>
      </c>
      <c r="E103" s="739">
        <f t="shared" ca="1" si="3"/>
        <v>0.16676255513586977</v>
      </c>
      <c r="F103" s="740"/>
      <c r="G103" s="740"/>
      <c r="H103" s="741"/>
    </row>
    <row r="104" spans="3:8" ht="25.5" customHeight="1" thickBot="1">
      <c r="C104" s="742" t="s">
        <v>580</v>
      </c>
      <c r="D104" s="743">
        <f>+D52+D49+D43</f>
        <v>2980000</v>
      </c>
      <c r="E104" s="744">
        <f t="shared" ca="1" si="3"/>
        <v>0.49695241430489195</v>
      </c>
      <c r="F104" s="745"/>
      <c r="G104" s="745"/>
      <c r="H104" s="746"/>
    </row>
    <row r="105" spans="3:8" ht="25.5" customHeight="1" thickBot="1">
      <c r="C105" s="747" t="s">
        <v>31</v>
      </c>
      <c r="D105" s="748">
        <f ca="1">+D104+D100+D89+D87+D84</f>
        <v>5996550</v>
      </c>
      <c r="E105" s="749"/>
      <c r="F105" s="750"/>
      <c r="G105" s="750"/>
      <c r="H105" s="751"/>
    </row>
    <row r="106" spans="3:8" ht="25.5" customHeight="1" thickBot="1"/>
    <row r="107" spans="3:8" ht="21.5" thickBot="1">
      <c r="C107" s="640" t="str">
        <f>+Charts!AB109</f>
        <v>Meta</v>
      </c>
      <c r="D107" s="631">
        <f ca="1">SUMIF(Charts!$AB$103:$AB$112,'MoneyBoard - Balance Sheet'!C107,Charts!$AC$103:$AC$112)</f>
        <v>238311.4339918312</v>
      </c>
      <c r="E107" s="631"/>
      <c r="F107" s="631">
        <f>SUMIF(Charts!$AA$124:$AA$131,'MoneyBoard - Balance Sheet'!C107,Charts!$AB$124:$AB$131)</f>
        <v>0</v>
      </c>
    </row>
    <row r="108" spans="3:8" ht="21.5" thickBot="1">
      <c r="C108" s="640" t="str">
        <f>+Charts!AB110</f>
        <v>Other Single Stock</v>
      </c>
      <c r="D108" s="631">
        <f ca="1">SUMIF(Charts!$AB$103:$AB$112,'MoneyBoard - Balance Sheet'!C108,Charts!$AC$103:$AC$112)</f>
        <v>0</v>
      </c>
      <c r="E108" s="631"/>
      <c r="F108" s="631">
        <f>SUMIF(Charts!$AA$124:$AA$131,'MoneyBoard - Balance Sheet'!C108,Charts!$AB$124:$AB$131)</f>
        <v>0</v>
      </c>
    </row>
  </sheetData>
  <mergeCells count="3">
    <mergeCell ref="B7:B9"/>
    <mergeCell ref="A7:A10"/>
    <mergeCell ref="N9:N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9FDC-BD45-40A2-997C-536B1F4E0945}">
  <sheetPr>
    <pageSetUpPr fitToPage="1"/>
  </sheetPr>
  <dimension ref="A1:AR174"/>
  <sheetViews>
    <sheetView showGridLines="0" topLeftCell="A22" zoomScale="115" zoomScaleNormal="115" zoomScaleSheetLayoutView="97" workbookViewId="0">
      <selection activeCell="F30" sqref="F30"/>
    </sheetView>
  </sheetViews>
  <sheetFormatPr defaultColWidth="8.7265625" defaultRowHeight="16.5" customHeight="1" outlineLevelRow="1"/>
  <cols>
    <col min="1" max="3" width="8.7265625" style="75"/>
    <col min="4" max="4" width="9.26953125" style="75" bestFit="1" customWidth="1"/>
    <col min="5" max="20" width="11.26953125" style="75" customWidth="1"/>
    <col min="21" max="30" width="14.54296875" style="75" customWidth="1"/>
    <col min="31" max="31" width="8.7265625" style="75"/>
    <col min="32" max="39" width="14.54296875" style="75" customWidth="1"/>
    <col min="40" max="44" width="15.26953125" style="75" bestFit="1" customWidth="1"/>
    <col min="45" max="16384" width="8.7265625" style="75"/>
  </cols>
  <sheetData>
    <row r="1" spans="1:33" ht="16.5" customHeight="1">
      <c r="B1" s="126"/>
      <c r="C1" s="126"/>
      <c r="D1" s="126"/>
      <c r="E1" s="126"/>
      <c r="F1" s="126"/>
      <c r="G1" s="126"/>
      <c r="H1" s="126"/>
      <c r="I1" s="126"/>
      <c r="J1" s="126"/>
      <c r="K1" s="126"/>
      <c r="L1" s="126"/>
      <c r="M1" s="126"/>
      <c r="N1" s="126"/>
      <c r="O1" s="126"/>
      <c r="P1" s="126"/>
      <c r="Q1" s="126"/>
      <c r="R1" s="126"/>
      <c r="S1" s="126"/>
      <c r="T1" s="126"/>
      <c r="U1" s="126"/>
      <c r="W1" s="126"/>
      <c r="X1" s="126"/>
      <c r="Y1" s="126"/>
      <c r="Z1" s="126"/>
      <c r="AA1" s="126"/>
    </row>
    <row r="2" spans="1:33" s="93" customFormat="1" ht="25">
      <c r="A2" s="131" t="s">
        <v>113</v>
      </c>
      <c r="B2" s="131"/>
      <c r="C2" s="131"/>
      <c r="D2" s="131"/>
      <c r="E2" s="131"/>
      <c r="F2" s="131"/>
      <c r="G2" s="131"/>
      <c r="H2" s="131"/>
      <c r="I2" s="131"/>
      <c r="J2" s="131"/>
      <c r="K2" s="132"/>
      <c r="L2" s="131"/>
      <c r="M2" s="131"/>
      <c r="N2" s="131"/>
      <c r="O2" s="131"/>
      <c r="P2" s="131"/>
      <c r="Q2" s="131"/>
      <c r="R2" s="131"/>
      <c r="S2" s="131"/>
      <c r="T2" s="131"/>
      <c r="U2" s="133"/>
      <c r="V2" s="127"/>
      <c r="W2" s="126"/>
      <c r="X2" s="126"/>
      <c r="Y2" s="126"/>
      <c r="Z2" s="126"/>
      <c r="AA2" s="126"/>
    </row>
    <row r="3" spans="1:33" ht="25.5" customHeight="1">
      <c r="A3" s="123" t="s">
        <v>0</v>
      </c>
      <c r="B3" s="123"/>
      <c r="C3" s="123"/>
      <c r="D3" s="123"/>
      <c r="E3" s="123" t="s">
        <v>112</v>
      </c>
      <c r="F3" s="123"/>
      <c r="G3" s="123"/>
      <c r="H3" s="123"/>
      <c r="I3" s="123"/>
      <c r="J3" s="123"/>
      <c r="K3" s="93"/>
      <c r="L3" s="123" t="s">
        <v>1</v>
      </c>
      <c r="M3" s="123"/>
      <c r="N3" s="123"/>
      <c r="O3" s="123"/>
      <c r="P3" s="123"/>
      <c r="Q3" s="123"/>
      <c r="R3" s="123"/>
      <c r="S3" s="123"/>
      <c r="T3" s="123"/>
      <c r="U3" s="126"/>
      <c r="W3" s="126"/>
      <c r="X3" s="126"/>
      <c r="Y3" s="126"/>
      <c r="Z3" s="126"/>
      <c r="AA3" s="126"/>
    </row>
    <row r="4" spans="1:33" s="93" customFormat="1" ht="17.25" customHeight="1">
      <c r="U4" s="126"/>
      <c r="V4" s="127" t="s">
        <v>102</v>
      </c>
      <c r="W4" s="126"/>
      <c r="X4" s="126"/>
      <c r="Y4" s="126"/>
      <c r="Z4" s="126"/>
      <c r="AA4" s="126"/>
    </row>
    <row r="5" spans="1:33" ht="16.5" customHeight="1">
      <c r="V5" s="84" t="str">
        <f>A3</f>
        <v>Assets</v>
      </c>
    </row>
    <row r="6" spans="1:33" ht="16.5" customHeight="1">
      <c r="V6" s="75" t="s">
        <v>44</v>
      </c>
      <c r="Z6" s="81">
        <f>(('Balance Sheet'!B36)/1000)*1000</f>
        <v>1000000</v>
      </c>
      <c r="AA6"/>
      <c r="AE6" s="84" t="str">
        <f>L3</f>
        <v>Liabilities</v>
      </c>
    </row>
    <row r="7" spans="1:33" ht="16.5" customHeight="1">
      <c r="V7" s="75" t="s">
        <v>436</v>
      </c>
      <c r="X7" s="84"/>
      <c r="Z7" s="81">
        <f>+'Balance Sheet'!B24+'Balance Sheet'!B25</f>
        <v>835000</v>
      </c>
      <c r="AE7" s="75" t="s">
        <v>205</v>
      </c>
      <c r="AG7" s="81">
        <f>(('Balance Sheet'!B43)/1000)*1000</f>
        <v>11466.03</v>
      </c>
    </row>
    <row r="8" spans="1:33" ht="22.5" customHeight="1">
      <c r="S8" s="190" t="s">
        <v>2</v>
      </c>
      <c r="T8" s="191"/>
      <c r="U8" s="192"/>
      <c r="V8" s="75" t="s">
        <v>435</v>
      </c>
      <c r="X8" s="84"/>
      <c r="Z8" s="81">
        <f>+'Balance Sheet'!B28</f>
        <v>80000</v>
      </c>
      <c r="AE8" s="75" t="s">
        <v>45</v>
      </c>
      <c r="AG8" s="81">
        <f>('Balance Sheet'!B47)</f>
        <v>69700</v>
      </c>
    </row>
    <row r="9" spans="1:33" ht="23.25" customHeight="1">
      <c r="S9" s="536">
        <f>'Balance Sheet'!B56</f>
        <v>4648383.97</v>
      </c>
      <c r="T9" s="193"/>
      <c r="U9" s="192"/>
      <c r="V9" s="75" t="s">
        <v>437</v>
      </c>
      <c r="Z9" s="81">
        <f>+'Balance Sheet'!B22</f>
        <v>250000</v>
      </c>
      <c r="AE9" s="75" t="s">
        <v>438</v>
      </c>
      <c r="AG9" s="81">
        <f>(('Balance Sheet'!B50)/1000)*1000</f>
        <v>1092000</v>
      </c>
    </row>
    <row r="10" spans="1:33" ht="16.5" customHeight="1">
      <c r="R10" s="76"/>
      <c r="T10" s="126"/>
      <c r="U10" s="126"/>
      <c r="V10" s="75" t="s">
        <v>8</v>
      </c>
      <c r="Z10" s="81">
        <f>(('Balance Sheet'!B33)/1000)*1000</f>
        <v>1815000</v>
      </c>
      <c r="AE10" s="75" t="s">
        <v>439</v>
      </c>
      <c r="AG10" s="81">
        <f>+'Balance Sheet'!B51</f>
        <v>125000</v>
      </c>
    </row>
    <row r="11" spans="1:33" ht="16.5" customHeight="1">
      <c r="R11" s="76"/>
      <c r="V11" s="75" t="s">
        <v>43</v>
      </c>
      <c r="Z11" s="81">
        <f>+'Balance Sheet'!B15+'Balance Sheet'!B16+'Balance Sheet'!B17+'Balance Sheet'!B18</f>
        <v>1644500</v>
      </c>
      <c r="AE11" s="75" t="s">
        <v>574</v>
      </c>
      <c r="AG11" s="81">
        <f>+'Balance Sheet'!B54</f>
        <v>50000</v>
      </c>
    </row>
    <row r="12" spans="1:33" ht="16.5" customHeight="1">
      <c r="V12" s="75" t="s">
        <v>3</v>
      </c>
      <c r="Z12" s="81">
        <f>(('Balance Sheet'!B14)/1000)*1000</f>
        <v>372050</v>
      </c>
      <c r="AE12" s="75" t="s">
        <v>31</v>
      </c>
      <c r="AG12" s="81">
        <f>(SUM(AG7:AG11))</f>
        <v>1348166.03</v>
      </c>
    </row>
    <row r="13" spans="1:33" ht="16.5" customHeight="1">
      <c r="V13" s="75" t="s">
        <v>31</v>
      </c>
      <c r="Z13" s="81">
        <f>SUM(Z6:Z12)</f>
        <v>5996550</v>
      </c>
      <c r="AA13" s="81">
        <f>+AA6+SUM(Z6:Z12)</f>
        <v>5996550</v>
      </c>
      <c r="AG13" s="75" t="b">
        <f>+AG12='Balance Sheet'!B55</f>
        <v>1</v>
      </c>
    </row>
    <row r="14" spans="1:33" ht="16.5" customHeight="1">
      <c r="V14" s="75" t="s">
        <v>32</v>
      </c>
      <c r="Z14" s="81" t="b">
        <f>+Z13='Balance Sheet'!B37</f>
        <v>1</v>
      </c>
    </row>
    <row r="15" spans="1:33" ht="16.5" customHeight="1">
      <c r="V15"/>
      <c r="W15"/>
      <c r="X15"/>
      <c r="Y15"/>
      <c r="Z15"/>
      <c r="AA15"/>
      <c r="AB15"/>
    </row>
    <row r="16" spans="1:33" ht="16.5" customHeight="1">
      <c r="V16"/>
      <c r="W16"/>
      <c r="X16"/>
      <c r="Y16"/>
      <c r="Z16"/>
      <c r="AA16"/>
      <c r="AB16"/>
    </row>
    <row r="17" spans="1:28" ht="16.5" customHeight="1">
      <c r="V17" s="75" t="s">
        <v>655</v>
      </c>
      <c r="W17"/>
      <c r="X17"/>
      <c r="Y17"/>
      <c r="Z17" s="7">
        <f>+'Balance Sheet'!B14+'Balance Sheet'!B15</f>
        <v>507050</v>
      </c>
      <c r="AA17"/>
      <c r="AB17"/>
    </row>
    <row r="19" spans="1:28" ht="28.5" customHeight="1">
      <c r="B19" s="129" t="s">
        <v>107</v>
      </c>
      <c r="C19" s="122" t="s">
        <v>105</v>
      </c>
      <c r="E19" s="80" t="s">
        <v>105</v>
      </c>
      <c r="F19" s="80" t="s">
        <v>105</v>
      </c>
      <c r="G19" s="80" t="s">
        <v>105</v>
      </c>
      <c r="H19" s="80" t="s">
        <v>105</v>
      </c>
      <c r="I19" s="80" t="s">
        <v>105</v>
      </c>
      <c r="K19" s="128" t="s">
        <v>106</v>
      </c>
      <c r="M19" s="75" t="s">
        <v>105</v>
      </c>
      <c r="N19" s="80" t="s">
        <v>105</v>
      </c>
      <c r="O19" s="122" t="s">
        <v>105</v>
      </c>
      <c r="Q19" s="75" t="s">
        <v>105</v>
      </c>
    </row>
    <row r="22" spans="1:28" s="93" customFormat="1" ht="25">
      <c r="A22" s="123" t="s">
        <v>79</v>
      </c>
      <c r="B22" s="92"/>
      <c r="C22" s="92"/>
      <c r="D22" s="92"/>
      <c r="E22" s="92"/>
      <c r="F22" s="92"/>
      <c r="G22" s="92"/>
      <c r="H22" s="92"/>
      <c r="I22" s="92"/>
      <c r="J22" s="92"/>
      <c r="K22" s="92"/>
      <c r="L22" s="92"/>
      <c r="M22" s="92"/>
      <c r="N22" s="92"/>
      <c r="O22" s="92"/>
      <c r="P22" s="92"/>
      <c r="Q22" s="92"/>
      <c r="R22" s="92"/>
    </row>
    <row r="23" spans="1:28" s="93" customFormat="1" ht="25">
      <c r="A23" s="164"/>
      <c r="B23" s="175"/>
      <c r="C23" s="175"/>
      <c r="D23" s="175"/>
      <c r="E23" s="51"/>
      <c r="F23" s="175"/>
      <c r="G23" s="175"/>
      <c r="H23" s="175"/>
      <c r="I23" s="175"/>
      <c r="J23" s="175"/>
      <c r="K23" s="175"/>
      <c r="L23" s="175"/>
      <c r="M23" s="175"/>
      <c r="N23" s="175"/>
      <c r="O23" s="175"/>
      <c r="P23" s="175"/>
      <c r="Q23" s="175"/>
      <c r="R23" s="175"/>
    </row>
    <row r="24" spans="1:28" ht="22.5" customHeight="1">
      <c r="D24" s="195" t="s">
        <v>21</v>
      </c>
      <c r="E24" s="196" t="s">
        <v>101</v>
      </c>
      <c r="F24" s="197"/>
      <c r="G24" s="197"/>
      <c r="H24" s="197"/>
      <c r="I24" s="197"/>
      <c r="J24" s="197"/>
      <c r="K24" s="197"/>
      <c r="L24" s="197"/>
      <c r="M24" s="197"/>
      <c r="N24" s="198"/>
      <c r="O24" s="195"/>
      <c r="P24" s="198"/>
      <c r="Q24" s="199" t="s">
        <v>169</v>
      </c>
    </row>
    <row r="25" spans="1:28" s="85" customFormat="1" ht="22.5" customHeight="1">
      <c r="D25" s="202" t="str">
        <f>+'Cash Flow'!D5</f>
        <v>December</v>
      </c>
      <c r="E25" s="203" t="str">
        <f>+'Cash Flow'!E5</f>
        <v>January</v>
      </c>
      <c r="F25" s="203" t="str">
        <f>+'Cash Flow'!F5</f>
        <v>February</v>
      </c>
      <c r="G25" s="203" t="str">
        <f>+'Cash Flow'!G5</f>
        <v>March</v>
      </c>
      <c r="H25" s="203" t="str">
        <f>+'Cash Flow'!H5</f>
        <v>April</v>
      </c>
      <c r="I25" s="203" t="str">
        <f>+'Cash Flow'!I5</f>
        <v xml:space="preserve">May </v>
      </c>
      <c r="J25" s="203" t="str">
        <f>+'Cash Flow'!J5</f>
        <v>June</v>
      </c>
      <c r="K25" s="203" t="str">
        <f>+'Cash Flow'!K5</f>
        <v>July</v>
      </c>
      <c r="L25" s="203" t="str">
        <f>+'Cash Flow'!L5</f>
        <v xml:space="preserve">August </v>
      </c>
      <c r="M25" s="203" t="str">
        <f>+'Cash Flow'!M5</f>
        <v>September</v>
      </c>
      <c r="N25" s="203" t="str">
        <f>+'Cash Flow'!N5</f>
        <v>October</v>
      </c>
      <c r="O25" s="203" t="str">
        <f>+'Cash Flow'!O5</f>
        <v>November</v>
      </c>
      <c r="P25" s="204" t="str">
        <f>+'Cash Flow'!P5</f>
        <v>December</v>
      </c>
      <c r="Q25" s="200" t="s">
        <v>158</v>
      </c>
    </row>
    <row r="26" spans="1:28" s="85" customFormat="1" ht="22.5" customHeight="1">
      <c r="A26" s="274" t="str">
        <f>+'Cash Flow'!A10</f>
        <v>Compensation</v>
      </c>
      <c r="B26" s="275"/>
      <c r="C26" s="275"/>
      <c r="D26" s="537">
        <f>+SUMIF('Cash Flow'!$A$6:$A$67,$A26,'Cash Flow'!D$6:D$67)</f>
        <v>235454.17396907217</v>
      </c>
      <c r="E26" s="538">
        <f>+SUMIF('Cash Flow'!$A$6:$A$67,$A26,'Cash Flow'!E$6:E$67)</f>
        <v>18813.52963917526</v>
      </c>
      <c r="F26" s="538">
        <f>+SUMIF('Cash Flow'!$A$6:$A$67,$A26,'Cash Flow'!F$6:F$67)</f>
        <v>18813.52963917526</v>
      </c>
      <c r="G26" s="538">
        <f>+SUMIF('Cash Flow'!$A$6:$A$67,$A26,'Cash Flow'!G$6:G$67)</f>
        <v>18813.52963917526</v>
      </c>
      <c r="H26" s="538">
        <f>+SUMIF('Cash Flow'!$A$6:$A$67,$A26,'Cash Flow'!H$6:H$67)</f>
        <v>18813.52963917526</v>
      </c>
      <c r="I26" s="538">
        <f>+SUMIF('Cash Flow'!$A$6:$A$67,$A26,'Cash Flow'!I$6:I$67)</f>
        <v>18813.52963917526</v>
      </c>
      <c r="J26" s="538">
        <f>+SUMIF('Cash Flow'!$A$6:$A$67,$A26,'Cash Flow'!J$6:J$67)</f>
        <v>18813.52963917526</v>
      </c>
      <c r="K26" s="538">
        <f>+SUMIF('Cash Flow'!$A$6:$A$67,$A26,'Cash Flow'!K$6:K$67)</f>
        <v>18813.52963917526</v>
      </c>
      <c r="L26" s="538">
        <f>+SUMIF('Cash Flow'!$A$6:$A$67,$A26,'Cash Flow'!L$6:L$67)</f>
        <v>18813.52963917526</v>
      </c>
      <c r="M26" s="538">
        <f>+SUMIF('Cash Flow'!$A$6:$A$67,$A26,'Cash Flow'!M$6:M$67)</f>
        <v>18813.52963917526</v>
      </c>
      <c r="N26" s="538">
        <f>+SUMIF('Cash Flow'!$A$6:$A$67,$A26,'Cash Flow'!N$6:N$67)</f>
        <v>18813.52963917526</v>
      </c>
      <c r="O26" s="538">
        <f>+SUMIF('Cash Flow'!$A$6:$A$67,$A26,'Cash Flow'!O$6:O$67)</f>
        <v>18813.52963917526</v>
      </c>
      <c r="P26" s="543">
        <f>+SUMIF('Cash Flow'!$A$6:$A$67,$A26,'Cash Flow'!P$6:P$67)</f>
        <v>235454.17396907217</v>
      </c>
      <c r="Q26" s="539">
        <f t="shared" ref="Q26:Q35" si="0">SUM(E26:P26)</f>
        <v>442403</v>
      </c>
    </row>
    <row r="27" spans="1:28" s="85" customFormat="1" ht="22.5" customHeight="1">
      <c r="A27" s="274" t="str">
        <f>+'Cash Flow'!A15</f>
        <v>Interest From Bank Accounts</v>
      </c>
      <c r="B27" s="275"/>
      <c r="C27" s="275"/>
      <c r="D27" s="537">
        <f>+SUMIF('Cash Flow'!$A$6:$A$67,$A27,'Cash Flow'!D$6:D$67)</f>
        <v>388.3144375</v>
      </c>
      <c r="E27" s="538">
        <f>+SUMIF('Cash Flow'!$A$6:$A$67,$A27,'Cash Flow'!E$6:E$67)</f>
        <v>278.59048446571893</v>
      </c>
      <c r="F27" s="538">
        <f>+SUMIF('Cash Flow'!$A$6:$A$67,$A27,'Cash Flow'!F$6:F$67)</f>
        <v>253.90750486352755</v>
      </c>
      <c r="G27" s="538">
        <f>+SUMIF('Cash Flow'!$A$6:$A$67,$A27,'Cash Flow'!G$6:G$67)</f>
        <v>197.23535241485729</v>
      </c>
      <c r="H27" s="538">
        <f>+SUMIF('Cash Flow'!$A$6:$A$67,$A27,'Cash Flow'!H$6:H$67)</f>
        <v>135.68687900614634</v>
      </c>
      <c r="I27" s="538">
        <f>+SUMIF('Cash Flow'!$A$6:$A$67,$A27,'Cash Flow'!I$6:I$67)</f>
        <v>125.13627398321785</v>
      </c>
      <c r="J27" s="538">
        <f>+SUMIF('Cash Flow'!$A$6:$A$67,$A27,'Cash Flow'!J$6:J$67)</f>
        <v>96.634799574682276</v>
      </c>
      <c r="K27" s="538">
        <f>+SUMIF('Cash Flow'!$A$6:$A$67,$A27,'Cash Flow'!K$6:K$67)</f>
        <v>51.759487014496457</v>
      </c>
      <c r="L27" s="538">
        <f>+SUMIF('Cash Flow'!$A$6:$A$67,$A27,'Cash Flow'!L$6:L$67)</f>
        <v>29.418861462564038</v>
      </c>
      <c r="M27" s="538">
        <f>+SUMIF('Cash Flow'!$A$6:$A$67,$A27,'Cash Flow'!M$6:M$67)</f>
        <v>24.504458203637142</v>
      </c>
      <c r="N27" s="538">
        <f>+SUMIF('Cash Flow'!$A$6:$A$67,$A27,'Cash Flow'!N$6:N$67)</f>
        <v>14.960061851819018</v>
      </c>
      <c r="O27" s="538">
        <f>+SUMIF('Cash Flow'!$A$6:$A$67,$A27,'Cash Flow'!O$6:O$67)</f>
        <v>4.03589010359409</v>
      </c>
      <c r="P27" s="538">
        <f ca="1">+SUMIF('Cash Flow'!$A$6:$A$67,$A27,'Cash Flow'!P$6:P$67)</f>
        <v>5692.9393116256542</v>
      </c>
      <c r="Q27" s="539">
        <f t="shared" ca="1" si="0"/>
        <v>8661.3155159579146</v>
      </c>
    </row>
    <row r="28" spans="1:28" s="85" customFormat="1" ht="22.5" customHeight="1">
      <c r="A28" s="86" t="str">
        <f>+'Cash Flow'!A16</f>
        <v>Cash Income</v>
      </c>
      <c r="B28" s="86"/>
      <c r="C28" s="86"/>
      <c r="D28" s="194">
        <f>+SUMIF('Cash Flow'!$A$6:$A$67,$A28,'Cash Flow'!D$6:D$67)</f>
        <v>235842.48840657217</v>
      </c>
      <c r="E28" s="87">
        <f>+SUMIF('Cash Flow'!$A$6:$A$67,$A28,'Cash Flow'!E$6:E$67)</f>
        <v>19092.12012364098</v>
      </c>
      <c r="F28" s="87">
        <f>+SUMIF('Cash Flow'!$A$6:$A$67,$A28,'Cash Flow'!F$6:F$67)</f>
        <v>19067.437144038788</v>
      </c>
      <c r="G28" s="87">
        <f>+SUMIF('Cash Flow'!$A$6:$A$67,$A28,'Cash Flow'!G$6:G$67)</f>
        <v>19010.764991590117</v>
      </c>
      <c r="H28" s="87">
        <f>+SUMIF('Cash Flow'!$A$6:$A$67,$A28,'Cash Flow'!H$6:H$67)</f>
        <v>18949.216518181405</v>
      </c>
      <c r="I28" s="87">
        <f>+SUMIF('Cash Flow'!$A$6:$A$67,$A28,'Cash Flow'!I$6:I$67)</f>
        <v>18938.665913158478</v>
      </c>
      <c r="J28" s="87">
        <f>+SUMIF('Cash Flow'!$A$6:$A$67,$A28,'Cash Flow'!J$6:J$67)</f>
        <v>18910.164438749944</v>
      </c>
      <c r="K28" s="87">
        <f>+SUMIF('Cash Flow'!$A$6:$A$67,$A28,'Cash Flow'!K$6:K$67)</f>
        <v>18865.289126189757</v>
      </c>
      <c r="L28" s="87">
        <f>+SUMIF('Cash Flow'!$A$6:$A$67,$A28,'Cash Flow'!L$6:L$67)</f>
        <v>18842.948500637824</v>
      </c>
      <c r="M28" s="87">
        <f>+SUMIF('Cash Flow'!$A$6:$A$67,$A28,'Cash Flow'!M$6:M$67)</f>
        <v>18838.034097378899</v>
      </c>
      <c r="N28" s="87">
        <f>+SUMIF('Cash Flow'!$A$6:$A$67,$A28,'Cash Flow'!N$6:N$67)</f>
        <v>18828.48970102708</v>
      </c>
      <c r="O28" s="87">
        <f>+SUMIF('Cash Flow'!$A$6:$A$67,$A28,'Cash Flow'!O$6:O$67)</f>
        <v>18817.565529278854</v>
      </c>
      <c r="P28" s="87">
        <f ca="1">+SUMIF('Cash Flow'!$A$6:$A$67,$A28,'Cash Flow'!P$6:P$67)</f>
        <v>241147.11328069784</v>
      </c>
      <c r="Q28" s="124">
        <f t="shared" ca="1" si="0"/>
        <v>451064.31551595801</v>
      </c>
    </row>
    <row r="29" spans="1:28" s="85" customFormat="1" ht="22.5" hidden="1" customHeight="1" outlineLevel="1">
      <c r="A29" s="274" t="str">
        <f>+'Cash Flow'!A17</f>
        <v>Rent on Primary Residence</v>
      </c>
      <c r="B29" s="275"/>
      <c r="C29" s="275"/>
      <c r="D29" s="276">
        <f>+SUMIF('Cash Flow'!$A$6:$A$67,$A29,'Cash Flow'!D$6:D$67)</f>
        <v>0</v>
      </c>
      <c r="E29" s="277">
        <f>+SUMIF('Cash Flow'!$A$6:$A$67,$A29,'Cash Flow'!E$6:E$67)</f>
        <v>0</v>
      </c>
      <c r="F29" s="277">
        <f>+SUMIF('Cash Flow'!$A$6:$A$67,$A29,'Cash Flow'!F$6:F$67)</f>
        <v>0</v>
      </c>
      <c r="G29" s="277">
        <f>+SUMIF('Cash Flow'!$A$6:$A$67,$A29,'Cash Flow'!G$6:G$67)</f>
        <v>0</v>
      </c>
      <c r="H29" s="277">
        <f>+SUMIF('Cash Flow'!$A$6:$A$67,$A29,'Cash Flow'!H$6:H$67)</f>
        <v>0</v>
      </c>
      <c r="I29" s="277">
        <f>+SUMIF('Cash Flow'!$A$6:$A$67,$A29,'Cash Flow'!I$6:I$67)</f>
        <v>0</v>
      </c>
      <c r="J29" s="277">
        <f>+SUMIF('Cash Flow'!$A$6:$A$67,$A29,'Cash Flow'!J$6:J$67)</f>
        <v>0</v>
      </c>
      <c r="K29" s="277">
        <f>+SUMIF('Cash Flow'!$A$6:$A$67,$A29,'Cash Flow'!K$6:K$67)</f>
        <v>0</v>
      </c>
      <c r="L29" s="277">
        <f>+SUMIF('Cash Flow'!$A$6:$A$67,$A29,'Cash Flow'!L$6:L$67)</f>
        <v>0</v>
      </c>
      <c r="M29" s="277">
        <f>+SUMIF('Cash Flow'!$A$6:$A$67,$A29,'Cash Flow'!M$6:M$67)</f>
        <v>0</v>
      </c>
      <c r="N29" s="277">
        <f>+SUMIF('Cash Flow'!$A$6:$A$67,$A29,'Cash Flow'!N$6:N$67)</f>
        <v>0</v>
      </c>
      <c r="O29" s="277">
        <f>+SUMIF('Cash Flow'!$A$6:$A$67,$A29,'Cash Flow'!O$6:O$67)</f>
        <v>0</v>
      </c>
      <c r="P29" s="277">
        <f>+SUMIF('Cash Flow'!$A$6:$A$67,$A29,'Cash Flow'!P$6:P$67)</f>
        <v>0</v>
      </c>
      <c r="Q29" s="278">
        <f t="shared" si="0"/>
        <v>0</v>
      </c>
    </row>
    <row r="30" spans="1:28" s="85" customFormat="1" ht="22.5" customHeight="1" collapsed="1">
      <c r="A30" s="274" t="str">
        <f>+'Cash Flow'!A26</f>
        <v>Manhattan Apartment</v>
      </c>
      <c r="B30" s="275"/>
      <c r="C30" s="275"/>
      <c r="D30" s="537">
        <f>+SUMIF('Cash Flow'!$A$6:$A$67,$A30,'Cash Flow'!D$6:D$67)</f>
        <v>-4523.8816666666662</v>
      </c>
      <c r="E30" s="543">
        <f>+SUMIF('Cash Flow'!$A$6:$A$67,$A30,'Cash Flow'!E$6:E$67)</f>
        <v>-22023.881666666668</v>
      </c>
      <c r="F30" s="538">
        <f>+SUMIF('Cash Flow'!$A$6:$A$67,$A30,'Cash Flow'!F$6:F$67)</f>
        <v>-4523.8816666666662</v>
      </c>
      <c r="G30" s="538">
        <f>+SUMIF('Cash Flow'!$A$6:$A$67,$A30,'Cash Flow'!G$6:G$67)</f>
        <v>-4523.8816666666662</v>
      </c>
      <c r="H30" s="538">
        <f>+SUMIF('Cash Flow'!$A$6:$A$67,$A30,'Cash Flow'!H$6:H$67)</f>
        <v>-4523.8816666666662</v>
      </c>
      <c r="I30" s="538">
        <f>+SUMIF('Cash Flow'!$A$6:$A$67,$A30,'Cash Flow'!I$6:I$67)</f>
        <v>-4523.8816666666662</v>
      </c>
      <c r="J30" s="538">
        <f>+SUMIF('Cash Flow'!$A$6:$A$67,$A30,'Cash Flow'!J$6:J$67)</f>
        <v>-4523.8816666666662</v>
      </c>
      <c r="K30" s="543">
        <f>+SUMIF('Cash Flow'!$A$6:$A$67,$A30,'Cash Flow'!K$6:K$67)</f>
        <v>-22023.881666666668</v>
      </c>
      <c r="L30" s="538">
        <f>+SUMIF('Cash Flow'!$A$6:$A$67,$A30,'Cash Flow'!L$6:L$67)</f>
        <v>-4523.8816666666662</v>
      </c>
      <c r="M30" s="538">
        <f>+SUMIF('Cash Flow'!$A$6:$A$67,$A30,'Cash Flow'!M$6:M$67)</f>
        <v>-4523.8816666666662</v>
      </c>
      <c r="N30" s="538">
        <f>+SUMIF('Cash Flow'!$A$6:$A$67,$A30,'Cash Flow'!N$6:N$67)</f>
        <v>-4523.8816666666662</v>
      </c>
      <c r="O30" s="538">
        <f>+SUMIF('Cash Flow'!$A$6:$A$67,$A30,'Cash Flow'!O$6:O$67)</f>
        <v>-4523.8816666666662</v>
      </c>
      <c r="P30" s="538">
        <f>+SUMIF('Cash Flow'!$A$6:$A$67,$A30,'Cash Flow'!P$6:P$67)</f>
        <v>-4523.8816666666662</v>
      </c>
      <c r="Q30" s="539">
        <f>SUM(E30:P30)</f>
        <v>-89286.580000000016</v>
      </c>
    </row>
    <row r="31" spans="1:28" s="85" customFormat="1" ht="22.5" customHeight="1">
      <c r="A31" s="274" t="str">
        <f>+'Cash Flow'!A36</f>
        <v>Florida Investment Property</v>
      </c>
      <c r="B31" s="275"/>
      <c r="C31" s="275"/>
      <c r="D31" s="537">
        <f>+SUMIF('Cash Flow'!$A$6:$A$67,$A31,'Cash Flow'!D$6:D$67)</f>
        <v>-5075.7300000000005</v>
      </c>
      <c r="E31" s="538">
        <f>+SUMIF('Cash Flow'!$A$6:$A$67,$A31,'Cash Flow'!E$6:E$67)</f>
        <v>1166.29</v>
      </c>
      <c r="F31" s="538">
        <f>+SUMIF('Cash Flow'!$A$6:$A$67,$A31,'Cash Flow'!F$6:F$67)</f>
        <v>1166.29</v>
      </c>
      <c r="G31" s="538">
        <f>+SUMIF('Cash Flow'!$A$6:$A$67,$A31,'Cash Flow'!G$6:G$67)</f>
        <v>1166.29</v>
      </c>
      <c r="H31" s="538">
        <f>+SUMIF('Cash Flow'!$A$6:$A$67,$A31,'Cash Flow'!H$6:H$67)</f>
        <v>1166.29</v>
      </c>
      <c r="I31" s="538">
        <f>+SUMIF('Cash Flow'!$A$6:$A$67,$A31,'Cash Flow'!I$6:I$67)</f>
        <v>1166.29</v>
      </c>
      <c r="J31" s="538">
        <f>+SUMIF('Cash Flow'!$A$6:$A$67,$A31,'Cash Flow'!J$6:J$67)</f>
        <v>1166.29</v>
      </c>
      <c r="K31" s="538">
        <f>+SUMIF('Cash Flow'!$A$6:$A$67,$A31,'Cash Flow'!K$6:K$67)</f>
        <v>1166.29</v>
      </c>
      <c r="L31" s="538">
        <f>+SUMIF('Cash Flow'!$A$6:$A$67,$A31,'Cash Flow'!L$6:L$67)</f>
        <v>1166.29</v>
      </c>
      <c r="M31" s="538">
        <f>+SUMIF('Cash Flow'!$A$6:$A$67,$A31,'Cash Flow'!M$6:M$67)</f>
        <v>1166.29</v>
      </c>
      <c r="N31" s="538">
        <f>+SUMIF('Cash Flow'!$A$6:$A$67,$A31,'Cash Flow'!N$6:N$67)</f>
        <v>1166.29</v>
      </c>
      <c r="O31" s="538">
        <f>+SUMIF('Cash Flow'!$A$6:$A$67,$A31,'Cash Flow'!O$6:O$67)</f>
        <v>1166.29</v>
      </c>
      <c r="P31" s="543">
        <f>+SUMIF('Cash Flow'!$A$6:$A$67,$A31,'Cash Flow'!P$6:P$67)</f>
        <v>-7632.6100000000006</v>
      </c>
      <c r="Q31" s="539">
        <f t="shared" si="0"/>
        <v>5196.5800000000017</v>
      </c>
    </row>
    <row r="32" spans="1:28" s="85" customFormat="1" ht="22.5" customHeight="1">
      <c r="A32" s="274" t="str">
        <f>+'Cash Flow'!A39</f>
        <v>Alternative Investments</v>
      </c>
      <c r="B32" s="275"/>
      <c r="C32" s="275"/>
      <c r="D32" s="537">
        <f>+SUMIF('Cash Flow'!$A$6:$A$67,$A32,'Cash Flow'!D$6:D$67)</f>
        <v>-677.08333333333337</v>
      </c>
      <c r="E32" s="538">
        <f>+SUMIF('Cash Flow'!$A$6:$A$67,$A32,'Cash Flow'!E$6:E$67)</f>
        <v>-677.08333333333337</v>
      </c>
      <c r="F32" s="538">
        <f>+SUMIF('Cash Flow'!$A$6:$A$67,$A32,'Cash Flow'!F$6:F$67)</f>
        <v>-677.08333333333337</v>
      </c>
      <c r="G32" s="538">
        <f>+SUMIF('Cash Flow'!$A$6:$A$67,$A32,'Cash Flow'!G$6:G$67)</f>
        <v>-677.08333333333337</v>
      </c>
      <c r="H32" s="538">
        <f>+SUMIF('Cash Flow'!$A$6:$A$67,$A32,'Cash Flow'!H$6:H$67)</f>
        <v>-677.08333333333337</v>
      </c>
      <c r="I32" s="538">
        <f>+SUMIF('Cash Flow'!$A$6:$A$67,$A32,'Cash Flow'!I$6:I$67)</f>
        <v>-677.08333333333337</v>
      </c>
      <c r="J32" s="538">
        <f>+SUMIF('Cash Flow'!$A$6:$A$67,$A32,'Cash Flow'!J$6:J$67)</f>
        <v>-677.08333333333337</v>
      </c>
      <c r="K32" s="538">
        <f>+SUMIF('Cash Flow'!$A$6:$A$67,$A32,'Cash Flow'!K$6:K$67)</f>
        <v>-677.08333333333337</v>
      </c>
      <c r="L32" s="538">
        <f>+SUMIF('Cash Flow'!$A$6:$A$67,$A32,'Cash Flow'!L$6:L$67)</f>
        <v>-677.08333333333337</v>
      </c>
      <c r="M32" s="538">
        <f>+SUMIF('Cash Flow'!$A$6:$A$67,$A32,'Cash Flow'!M$6:M$67)</f>
        <v>-677.08333333333337</v>
      </c>
      <c r="N32" s="538">
        <f>+SUMIF('Cash Flow'!$A$6:$A$67,$A32,'Cash Flow'!N$6:N$67)</f>
        <v>-677.08333333333337</v>
      </c>
      <c r="O32" s="538">
        <f>+SUMIF('Cash Flow'!$A$6:$A$67,$A32,'Cash Flow'!O$6:O$67)</f>
        <v>-677.08333333333337</v>
      </c>
      <c r="P32" s="538">
        <f>+SUMIF('Cash Flow'!$A$6:$A$67,$A32,'Cash Flow'!P$6:P$67)</f>
        <v>-677.08333333333337</v>
      </c>
      <c r="Q32" s="539">
        <f t="shared" si="0"/>
        <v>-8124.9999999999991</v>
      </c>
    </row>
    <row r="33" spans="1:22" s="85" customFormat="1" ht="22.5" customHeight="1">
      <c r="A33" s="274" t="str">
        <f>+'Cash Flow'!A42</f>
        <v>Student Debt</v>
      </c>
      <c r="B33" s="275"/>
      <c r="C33" s="275"/>
      <c r="D33" s="537">
        <f>+SUMIF('Cash Flow'!$A$6:$A$67,$A33,'Cash Flow'!D$6:D$67)</f>
        <v>-759.44166666666661</v>
      </c>
      <c r="E33" s="538">
        <f>+SUMIF('Cash Flow'!$A$6:$A$67,$A33,'Cash Flow'!E$6:E$67)</f>
        <v>-759.44166666666661</v>
      </c>
      <c r="F33" s="538">
        <f>+SUMIF('Cash Flow'!$A$6:$A$67,$A33,'Cash Flow'!F$6:F$67)</f>
        <v>-759.44166666666661</v>
      </c>
      <c r="G33" s="538">
        <f>+SUMIF('Cash Flow'!$A$6:$A$67,$A33,'Cash Flow'!G$6:G$67)</f>
        <v>-759.44166666666661</v>
      </c>
      <c r="H33" s="538">
        <f>+SUMIF('Cash Flow'!$A$6:$A$67,$A33,'Cash Flow'!H$6:H$67)</f>
        <v>-759.44166666666661</v>
      </c>
      <c r="I33" s="538">
        <f>+SUMIF('Cash Flow'!$A$6:$A$67,$A33,'Cash Flow'!I$6:I$67)</f>
        <v>-759.44166666666661</v>
      </c>
      <c r="J33" s="538">
        <f>+SUMIF('Cash Flow'!$A$6:$A$67,$A33,'Cash Flow'!J$6:J$67)</f>
        <v>-759.44166666666661</v>
      </c>
      <c r="K33" s="538">
        <f>+SUMIF('Cash Flow'!$A$6:$A$67,$A33,'Cash Flow'!K$6:K$67)</f>
        <v>-759.44166666666661</v>
      </c>
      <c r="L33" s="538">
        <f>+SUMIF('Cash Flow'!$A$6:$A$67,$A33,'Cash Flow'!L$6:L$67)</f>
        <v>-759.44166666666661</v>
      </c>
      <c r="M33" s="538">
        <f>+SUMIF('Cash Flow'!$A$6:$A$67,$A33,'Cash Flow'!M$6:M$67)</f>
        <v>-759.44166666666661</v>
      </c>
      <c r="N33" s="538">
        <f>+SUMIF('Cash Flow'!$A$6:$A$67,$A33,'Cash Flow'!N$6:N$67)</f>
        <v>-759.44166666666661</v>
      </c>
      <c r="O33" s="538">
        <f>+SUMIF('Cash Flow'!$A$6:$A$67,$A33,'Cash Flow'!O$6:O$67)</f>
        <v>-759.44166666666661</v>
      </c>
      <c r="P33" s="538">
        <f>+SUMIF('Cash Flow'!$A$6:$A$67,$A33,'Cash Flow'!P$6:P$67)</f>
        <v>-759.44166666666661</v>
      </c>
      <c r="Q33" s="539">
        <f t="shared" si="0"/>
        <v>-9113.2999999999993</v>
      </c>
    </row>
    <row r="34" spans="1:22" s="85" customFormat="1" ht="22.5" hidden="1" customHeight="1" outlineLevel="1">
      <c r="A34" s="274" t="str">
        <f>+'Cash Flow'!A46</f>
        <v>Cars</v>
      </c>
      <c r="B34" s="275"/>
      <c r="C34" s="275"/>
      <c r="D34" s="537">
        <f>+SUMIF('Cash Flow'!$A$6:$A$67,$A34,'Cash Flow'!D$6:D$67)</f>
        <v>0</v>
      </c>
      <c r="E34" s="538">
        <f>+SUMIF('Cash Flow'!$A$6:$A$67,$A34,'Cash Flow'!E$6:E$67)</f>
        <v>0</v>
      </c>
      <c r="F34" s="538">
        <f>+SUMIF('Cash Flow'!$A$6:$A$67,$A34,'Cash Flow'!F$6:F$67)</f>
        <v>0</v>
      </c>
      <c r="G34" s="538">
        <f>+SUMIF('Cash Flow'!$A$6:$A$67,$A34,'Cash Flow'!G$6:G$67)</f>
        <v>0</v>
      </c>
      <c r="H34" s="538">
        <f>+SUMIF('Cash Flow'!$A$6:$A$67,$A34,'Cash Flow'!H$6:H$67)</f>
        <v>0</v>
      </c>
      <c r="I34" s="538">
        <f>+SUMIF('Cash Flow'!$A$6:$A$67,$A34,'Cash Flow'!I$6:I$67)</f>
        <v>0</v>
      </c>
      <c r="J34" s="538">
        <f>+SUMIF('Cash Flow'!$A$6:$A$67,$A34,'Cash Flow'!J$6:J$67)</f>
        <v>0</v>
      </c>
      <c r="K34" s="538">
        <f>+SUMIF('Cash Flow'!$A$6:$A$67,$A34,'Cash Flow'!K$6:K$67)</f>
        <v>0</v>
      </c>
      <c r="L34" s="538">
        <f>+SUMIF('Cash Flow'!$A$6:$A$67,$A34,'Cash Flow'!L$6:L$67)</f>
        <v>0</v>
      </c>
      <c r="M34" s="538">
        <f>+SUMIF('Cash Flow'!$A$6:$A$67,$A34,'Cash Flow'!M$6:M$67)</f>
        <v>0</v>
      </c>
      <c r="N34" s="538">
        <f>+SUMIF('Cash Flow'!$A$6:$A$67,$A34,'Cash Flow'!N$6:N$67)</f>
        <v>0</v>
      </c>
      <c r="O34" s="538">
        <f>+SUMIF('Cash Flow'!$A$6:$A$67,$A34,'Cash Flow'!O$6:O$67)</f>
        <v>0</v>
      </c>
      <c r="P34" s="538">
        <f>+SUMIF('Cash Flow'!$A$6:$A$67,$A34,'Cash Flow'!P$6:P$67)</f>
        <v>0</v>
      </c>
      <c r="Q34" s="539">
        <f t="shared" si="0"/>
        <v>0</v>
      </c>
    </row>
    <row r="35" spans="1:22" s="85" customFormat="1" ht="22.5" customHeight="1" collapsed="1">
      <c r="A35" s="274" t="str">
        <f>+'Cash Flow'!A49</f>
        <v>Credit Cards</v>
      </c>
      <c r="B35" s="275"/>
      <c r="C35" s="275"/>
      <c r="D35" s="537">
        <f>+SUMIF('Cash Flow'!$A$6:$A$67,$A35,'Cash Flow'!D$6:D$67)</f>
        <v>-11466.03</v>
      </c>
      <c r="E35" s="538">
        <f>+SUMIF('Cash Flow'!$A$6:$A$67,$A35,'Cash Flow'!E$6:E$67)</f>
        <v>-11466.03</v>
      </c>
      <c r="F35" s="538">
        <f>+SUMIF('Cash Flow'!$A$6:$A$67,$A35,'Cash Flow'!F$6:F$67)</f>
        <v>-11466.03</v>
      </c>
      <c r="G35" s="538">
        <f>+SUMIF('Cash Flow'!$A$6:$A$67,$A35,'Cash Flow'!G$6:G$67)</f>
        <v>-11466.03</v>
      </c>
      <c r="H35" s="538">
        <f>+SUMIF('Cash Flow'!$A$6:$A$67,$A35,'Cash Flow'!H$6:H$67)</f>
        <v>-11466.03</v>
      </c>
      <c r="I35" s="538">
        <f>+SUMIF('Cash Flow'!$A$6:$A$67,$A35,'Cash Flow'!I$6:I$67)</f>
        <v>-11466.03</v>
      </c>
      <c r="J35" s="538">
        <f>+SUMIF('Cash Flow'!$A$6:$A$67,$A35,'Cash Flow'!J$6:J$67)</f>
        <v>-11466.03</v>
      </c>
      <c r="K35" s="538">
        <f>+SUMIF('Cash Flow'!$A$6:$A$67,$A35,'Cash Flow'!K$6:K$67)</f>
        <v>-11466.03</v>
      </c>
      <c r="L35" s="538">
        <f>+SUMIF('Cash Flow'!$A$6:$A$67,$A35,'Cash Flow'!L$6:L$67)</f>
        <v>-11466.03</v>
      </c>
      <c r="M35" s="538">
        <f>+SUMIF('Cash Flow'!$A$6:$A$67,$A35,'Cash Flow'!M$6:M$67)</f>
        <v>-11466.03</v>
      </c>
      <c r="N35" s="538">
        <f>+SUMIF('Cash Flow'!$A$6:$A$67,$A35,'Cash Flow'!N$6:N$67)</f>
        <v>-11466.03</v>
      </c>
      <c r="O35" s="538">
        <f>+SUMIF('Cash Flow'!$A$6:$A$67,$A35,'Cash Flow'!O$6:O$67)</f>
        <v>-11466.03</v>
      </c>
      <c r="P35" s="538">
        <f>+SUMIF('Cash Flow'!$A$6:$A$67,$A35,'Cash Flow'!P$6:P$67)</f>
        <v>-11466.03</v>
      </c>
      <c r="Q35" s="539">
        <f t="shared" si="0"/>
        <v>-137592.36000000002</v>
      </c>
    </row>
    <row r="36" spans="1:22" s="85" customFormat="1" ht="22.5" hidden="1" customHeight="1" outlineLevel="1">
      <c r="A36" s="274" t="str">
        <f>+'Cash Flow'!A48</f>
        <v>Personal Insurance</v>
      </c>
      <c r="B36" s="275"/>
      <c r="C36" s="275"/>
      <c r="D36" s="537">
        <f>+SUMIF('Cash Flow'!$A$6:$A$67,$A36,'Cash Flow'!D$6:D$67)</f>
        <v>0</v>
      </c>
      <c r="E36" s="538">
        <f>+SUMIF('Cash Flow'!$A$6:$A$67,$A36,'Cash Flow'!E$6:E$67)</f>
        <v>0</v>
      </c>
      <c r="F36" s="538">
        <f>+SUMIF('Cash Flow'!$A$6:$A$67,$A36,'Cash Flow'!F$6:F$67)</f>
        <v>0</v>
      </c>
      <c r="G36" s="538">
        <f>+SUMIF('Cash Flow'!$A$6:$A$67,$A36,'Cash Flow'!G$6:G$67)</f>
        <v>0</v>
      </c>
      <c r="H36" s="538">
        <f>+SUMIF('Cash Flow'!$A$6:$A$67,$A36,'Cash Flow'!H$6:H$67)</f>
        <v>0</v>
      </c>
      <c r="I36" s="538">
        <f>+SUMIF('Cash Flow'!$A$6:$A$67,$A36,'Cash Flow'!I$6:I$67)</f>
        <v>0</v>
      </c>
      <c r="J36" s="538">
        <f>+SUMIF('Cash Flow'!$A$6:$A$67,$A36,'Cash Flow'!J$6:J$67)</f>
        <v>0</v>
      </c>
      <c r="K36" s="538">
        <f>+SUMIF('Cash Flow'!$A$6:$A$67,$A36,'Cash Flow'!K$6:K$67)</f>
        <v>0</v>
      </c>
      <c r="L36" s="538">
        <f>+SUMIF('Cash Flow'!$A$6:$A$67,$A36,'Cash Flow'!L$6:L$67)</f>
        <v>0</v>
      </c>
      <c r="M36" s="538">
        <f>+SUMIF('Cash Flow'!$A$6:$A$67,$A36,'Cash Flow'!M$6:M$67)</f>
        <v>0</v>
      </c>
      <c r="N36" s="538">
        <f>+SUMIF('Cash Flow'!$A$6:$A$67,$A36,'Cash Flow'!N$6:N$67)</f>
        <v>0</v>
      </c>
      <c r="O36" s="538">
        <f>+SUMIF('Cash Flow'!$A$6:$A$67,$A36,'Cash Flow'!O$6:O$67)</f>
        <v>0</v>
      </c>
      <c r="P36" s="538">
        <f>+SUMIF('Cash Flow'!$A$6:$A$67,$A36,'Cash Flow'!P$6:P$67)</f>
        <v>0</v>
      </c>
      <c r="Q36" s="539">
        <f t="shared" ref="Q36:Q41" si="1">SUM(D36:O36)</f>
        <v>0</v>
      </c>
    </row>
    <row r="37" spans="1:22" s="85" customFormat="1" ht="22.5" customHeight="1" collapsed="1">
      <c r="A37" s="274" t="str">
        <f>+'Cash Flow'!A53</f>
        <v>Dependent Care</v>
      </c>
      <c r="B37" s="275"/>
      <c r="C37" s="275"/>
      <c r="D37" s="537">
        <f>+SUMIF('Cash Flow'!$A$6:$A$67,$A37,'Cash Flow'!D$6:D$67)</f>
        <v>-19333.333333333328</v>
      </c>
      <c r="E37" s="538">
        <f>+SUMIF('Cash Flow'!$A$6:$A$67,$A37,'Cash Flow'!E$6:E$67)</f>
        <v>-4333.3333333333303</v>
      </c>
      <c r="F37" s="538">
        <f>+SUMIF('Cash Flow'!$A$6:$A$67,$A37,'Cash Flow'!F$6:F$67)</f>
        <v>-4333.3333333333303</v>
      </c>
      <c r="G37" s="538">
        <f>+SUMIF('Cash Flow'!$A$6:$A$67,$A37,'Cash Flow'!G$6:G$67)</f>
        <v>-4333.3333333333303</v>
      </c>
      <c r="H37" s="543">
        <f>+SUMIF('Cash Flow'!$A$6:$A$67,$A37,'Cash Flow'!H$6:H$67)</f>
        <v>-19333.333333333328</v>
      </c>
      <c r="I37" s="538">
        <f>+SUMIF('Cash Flow'!$A$6:$A$67,$A37,'Cash Flow'!I$6:I$67)</f>
        <v>-4333.3333333333303</v>
      </c>
      <c r="J37" s="538">
        <f>+SUMIF('Cash Flow'!$A$6:$A$67,$A37,'Cash Flow'!J$6:J$67)</f>
        <v>-4333.3333333333303</v>
      </c>
      <c r="K37" s="538">
        <f>+SUMIF('Cash Flow'!$A$6:$A$67,$A37,'Cash Flow'!K$6:K$67)</f>
        <v>-4333.3333333333303</v>
      </c>
      <c r="L37" s="543">
        <f>+SUMIF('Cash Flow'!$A$6:$A$67,$A37,'Cash Flow'!L$6:L$67)</f>
        <v>-19333.333333333328</v>
      </c>
      <c r="M37" s="538">
        <f>+SUMIF('Cash Flow'!$A$6:$A$67,$A37,'Cash Flow'!M$6:M$67)</f>
        <v>-4333.3333333333303</v>
      </c>
      <c r="N37" s="538">
        <f>+SUMIF('Cash Flow'!$A$6:$A$67,$A37,'Cash Flow'!N$6:N$67)</f>
        <v>-4333.3333333333303</v>
      </c>
      <c r="O37" s="538">
        <f>+SUMIF('Cash Flow'!$A$6:$A$67,$A37,'Cash Flow'!O$6:O$67)</f>
        <v>-4333.3333333333303</v>
      </c>
      <c r="P37" s="543">
        <f>+SUMIF('Cash Flow'!$A$6:$A$67,$A37,'Cash Flow'!P$6:P$67)</f>
        <v>-19333.333333333328</v>
      </c>
      <c r="Q37" s="539">
        <f t="shared" si="1"/>
        <v>-96999.999999999942</v>
      </c>
    </row>
    <row r="38" spans="1:22" s="85" customFormat="1" ht="22.5" customHeight="1">
      <c r="A38" s="274" t="str">
        <f>+'Cash Flow'!A55</f>
        <v>Club Memberships</v>
      </c>
      <c r="B38" s="275"/>
      <c r="C38" s="275"/>
      <c r="D38" s="537">
        <f>+SUMIF('Cash Flow'!$A$6:$A$67,$A38,'Cash Flow'!D$6:D$67)</f>
        <v>0</v>
      </c>
      <c r="E38" s="538">
        <f>+SUMIF('Cash Flow'!$A$6:$A$67,$A38,'Cash Flow'!E$6:E$67)</f>
        <v>0</v>
      </c>
      <c r="F38" s="538">
        <f>+SUMIF('Cash Flow'!$A$6:$A$67,$A38,'Cash Flow'!F$6:F$67)</f>
        <v>0</v>
      </c>
      <c r="G38" s="538">
        <f>+SUMIF('Cash Flow'!$A$6:$A$67,$A38,'Cash Flow'!G$6:G$67)</f>
        <v>0</v>
      </c>
      <c r="H38" s="538">
        <f>+SUMIF('Cash Flow'!$A$6:$A$67,$A38,'Cash Flow'!H$6:H$67)</f>
        <v>0</v>
      </c>
      <c r="I38" s="538">
        <f>+SUMIF('Cash Flow'!$A$6:$A$67,$A38,'Cash Flow'!I$6:I$67)</f>
        <v>0</v>
      </c>
      <c r="J38" s="538">
        <f>+SUMIF('Cash Flow'!$A$6:$A$67,$A38,'Cash Flow'!J$6:J$67)</f>
        <v>0</v>
      </c>
      <c r="K38" s="538">
        <f>+SUMIF('Cash Flow'!$A$6:$A$67,$A38,'Cash Flow'!K$6:K$67)</f>
        <v>0</v>
      </c>
      <c r="L38" s="538">
        <f>+SUMIF('Cash Flow'!$A$6:$A$67,$A38,'Cash Flow'!L$6:L$67)</f>
        <v>0</v>
      </c>
      <c r="M38" s="538">
        <f>+SUMIF('Cash Flow'!$A$6:$A$67,$A38,'Cash Flow'!M$6:M$67)</f>
        <v>0</v>
      </c>
      <c r="N38" s="538">
        <f>+SUMIF('Cash Flow'!$A$6:$A$67,$A38,'Cash Flow'!N$6:N$67)</f>
        <v>0</v>
      </c>
      <c r="O38" s="538">
        <f>+SUMIF('Cash Flow'!$A$6:$A$67,$A38,'Cash Flow'!O$6:O$67)</f>
        <v>0</v>
      </c>
      <c r="P38" s="538">
        <f>+SUMIF('Cash Flow'!$A$6:$A$67,$A38,'Cash Flow'!P$6:P$67)</f>
        <v>0</v>
      </c>
      <c r="Q38" s="539">
        <f t="shared" si="1"/>
        <v>0</v>
      </c>
    </row>
    <row r="39" spans="1:22" s="85" customFormat="1" ht="22.5" customHeight="1">
      <c r="A39" s="274" t="str">
        <f>+'Cash Flow'!A59</f>
        <v>Phone / Utilities</v>
      </c>
      <c r="B39" s="275"/>
      <c r="C39" s="275"/>
      <c r="D39" s="537">
        <f>+SUMIF('Cash Flow'!$A$6:$A$67,$A39,'Cash Flow'!D$6:D$67)</f>
        <v>-345.94</v>
      </c>
      <c r="E39" s="538">
        <f>+SUMIF('Cash Flow'!$A$6:$A$67,$A39,'Cash Flow'!E$6:E$67)</f>
        <v>-345.94</v>
      </c>
      <c r="F39" s="538">
        <f>+SUMIF('Cash Flow'!$A$6:$A$67,$A39,'Cash Flow'!F$6:F$67)</f>
        <v>-345.94</v>
      </c>
      <c r="G39" s="538">
        <f>+SUMIF('Cash Flow'!$A$6:$A$67,$A39,'Cash Flow'!G$6:G$67)</f>
        <v>-345.94</v>
      </c>
      <c r="H39" s="538">
        <f>+SUMIF('Cash Flow'!$A$6:$A$67,$A39,'Cash Flow'!H$6:H$67)</f>
        <v>-345.94</v>
      </c>
      <c r="I39" s="538">
        <f>+SUMIF('Cash Flow'!$A$6:$A$67,$A39,'Cash Flow'!I$6:I$67)</f>
        <v>-345.94</v>
      </c>
      <c r="J39" s="538">
        <f>+SUMIF('Cash Flow'!$A$6:$A$67,$A39,'Cash Flow'!J$6:J$67)</f>
        <v>-345.94</v>
      </c>
      <c r="K39" s="538">
        <f>+SUMIF('Cash Flow'!$A$6:$A$67,$A39,'Cash Flow'!K$6:K$67)</f>
        <v>-345.94</v>
      </c>
      <c r="L39" s="538">
        <f>+SUMIF('Cash Flow'!$A$6:$A$67,$A39,'Cash Flow'!L$6:L$67)</f>
        <v>-345.94</v>
      </c>
      <c r="M39" s="538">
        <f>+SUMIF('Cash Flow'!$A$6:$A$67,$A39,'Cash Flow'!M$6:M$67)</f>
        <v>-345.94</v>
      </c>
      <c r="N39" s="538">
        <f>+SUMIF('Cash Flow'!$A$6:$A$67,$A39,'Cash Flow'!N$6:N$67)</f>
        <v>-345.94</v>
      </c>
      <c r="O39" s="538">
        <f>+SUMIF('Cash Flow'!$A$6:$A$67,$A39,'Cash Flow'!O$6:O$67)</f>
        <v>-345.94</v>
      </c>
      <c r="P39" s="538">
        <f>+SUMIF('Cash Flow'!$A$6:$A$67,$A39,'Cash Flow'!P$6:P$67)</f>
        <v>0</v>
      </c>
      <c r="Q39" s="539">
        <f t="shared" si="1"/>
        <v>-4151.28</v>
      </c>
    </row>
    <row r="40" spans="1:22" s="85" customFormat="1" ht="22.5" customHeight="1">
      <c r="A40" s="274" t="str">
        <f>+'Cash Flow'!A61</f>
        <v>Travel (not on credit card)</v>
      </c>
      <c r="B40" s="275"/>
      <c r="C40" s="275"/>
      <c r="D40" s="537">
        <f>+SUMIF('Cash Flow'!$A$6:$A$67,$A40,'Cash Flow'!D$6:D$67)</f>
        <v>0</v>
      </c>
      <c r="E40" s="538">
        <f>+SUMIF('Cash Flow'!$A$6:$A$67,$A40,'Cash Flow'!E$6:E$67)</f>
        <v>0</v>
      </c>
      <c r="F40" s="538">
        <f>+SUMIF('Cash Flow'!$A$6:$A$67,$A40,'Cash Flow'!F$6:F$67)</f>
        <v>0</v>
      </c>
      <c r="G40" s="538">
        <f>+SUMIF('Cash Flow'!$A$6:$A$67,$A40,'Cash Flow'!G$6:G$67)</f>
        <v>0</v>
      </c>
      <c r="H40" s="538">
        <f>+SUMIF('Cash Flow'!$A$6:$A$67,$A40,'Cash Flow'!H$6:H$67)</f>
        <v>0</v>
      </c>
      <c r="I40" s="538">
        <f>+SUMIF('Cash Flow'!$A$6:$A$67,$A40,'Cash Flow'!I$6:I$67)</f>
        <v>-4000</v>
      </c>
      <c r="J40" s="538">
        <f>+SUMIF('Cash Flow'!$A$6:$A$67,$A40,'Cash Flow'!J$6:J$67)</f>
        <v>-1000</v>
      </c>
      <c r="K40" s="538">
        <f>+SUMIF('Cash Flow'!$A$6:$A$67,$A40,'Cash Flow'!K$6:K$67)</f>
        <v>-2000</v>
      </c>
      <c r="L40" s="538">
        <f>+SUMIF('Cash Flow'!$A$6:$A$67,$A40,'Cash Flow'!L$6:L$67)</f>
        <v>0</v>
      </c>
      <c r="M40" s="538">
        <f>+SUMIF('Cash Flow'!$A$6:$A$67,$A40,'Cash Flow'!M$6:M$67)</f>
        <v>0</v>
      </c>
      <c r="N40" s="538">
        <f>+SUMIF('Cash Flow'!$A$6:$A$67,$A40,'Cash Flow'!N$6:N$67)</f>
        <v>0</v>
      </c>
      <c r="O40" s="538">
        <f>+SUMIF('Cash Flow'!$A$6:$A$67,$A40,'Cash Flow'!O$6:O$67)</f>
        <v>-4000</v>
      </c>
      <c r="P40" s="538">
        <f>+SUMIF('Cash Flow'!$A$6:$A$67,$A40,'Cash Flow'!P$6:P$67)</f>
        <v>-4000</v>
      </c>
      <c r="Q40" s="539">
        <f t="shared" si="1"/>
        <v>-11000</v>
      </c>
    </row>
    <row r="41" spans="1:22" s="85" customFormat="1" ht="22.5" customHeight="1" collapsed="1">
      <c r="A41" s="274" t="str">
        <f>+'Cash Flow'!A62</f>
        <v>Taxes (TBD)</v>
      </c>
      <c r="B41" s="275"/>
      <c r="C41" s="275"/>
      <c r="D41" s="537">
        <f>+SUMIF('Cash Flow'!$A$6:$A$67,$A41,'Cash Flow'!D$6:D$67)</f>
        <v>0</v>
      </c>
      <c r="E41" s="538">
        <f>+SUMIF('Cash Flow'!$A$6:$A$67,$A41,'Cash Flow'!E$6:E$67)</f>
        <v>0</v>
      </c>
      <c r="F41" s="538">
        <f>+SUMIF('Cash Flow'!$A$6:$A$67,$A41,'Cash Flow'!F$6:F$67)</f>
        <v>0</v>
      </c>
      <c r="G41" s="538">
        <f>+SUMIF('Cash Flow'!$A$6:$A$67,$A41,'Cash Flow'!G$6:G$67)</f>
        <v>0</v>
      </c>
      <c r="H41" s="543">
        <f>+SUMIF('Cash Flow'!$A$6:$A$67,$A41,'Cash Flow'!H$6:H$67)</f>
        <v>-30000</v>
      </c>
      <c r="I41" s="538">
        <f>+SUMIF('Cash Flow'!$A$6:$A$67,$A41,'Cash Flow'!I$6:I$67)</f>
        <v>0</v>
      </c>
      <c r="J41" s="538">
        <f>+SUMIF('Cash Flow'!$A$6:$A$67,$A41,'Cash Flow'!J$6:J$67)</f>
        <v>0</v>
      </c>
      <c r="K41" s="538">
        <f>+SUMIF('Cash Flow'!$A$6:$A$67,$A41,'Cash Flow'!K$6:K$67)</f>
        <v>0</v>
      </c>
      <c r="L41" s="538">
        <f>+SUMIF('Cash Flow'!$A$6:$A$67,$A41,'Cash Flow'!L$6:L$67)</f>
        <v>0</v>
      </c>
      <c r="M41" s="538">
        <f>+SUMIF('Cash Flow'!$A$6:$A$67,$A41,'Cash Flow'!M$6:M$67)</f>
        <v>0</v>
      </c>
      <c r="N41" s="538">
        <f>+SUMIF('Cash Flow'!$A$6:$A$67,$A41,'Cash Flow'!N$6:N$67)</f>
        <v>0</v>
      </c>
      <c r="O41" s="538">
        <f>+SUMIF('Cash Flow'!$A$6:$A$67,$A41,'Cash Flow'!O$6:O$67)</f>
        <v>0</v>
      </c>
      <c r="P41" s="538">
        <f>+SUMIF('Cash Flow'!$A$6:$A$67,$A41,'Cash Flow'!P$6:P$67)</f>
        <v>0</v>
      </c>
      <c r="Q41" s="539">
        <f t="shared" si="1"/>
        <v>-30000</v>
      </c>
      <c r="R41" s="627" t="s">
        <v>524</v>
      </c>
      <c r="S41" s="627" t="s">
        <v>525</v>
      </c>
      <c r="T41" s="627" t="s">
        <v>530</v>
      </c>
      <c r="U41" s="627" t="s">
        <v>260</v>
      </c>
    </row>
    <row r="42" spans="1:22" s="85" customFormat="1" ht="22.5" customHeight="1">
      <c r="A42" s="86" t="str">
        <f>+'Cash Flow'!A63</f>
        <v>Cash Expenses</v>
      </c>
      <c r="B42" s="88"/>
      <c r="C42" s="88"/>
      <c r="D42" s="194">
        <f>+SUMIF('Cash Flow'!$A$6:$A$67,$A42,'Cash Flow'!D$6:D$67)</f>
        <v>-42181.439999999995</v>
      </c>
      <c r="E42" s="87">
        <f>+SUMIF('Cash Flow'!$A$6:$A$67,$A42,'Cash Flow'!E$6:E$67)</f>
        <v>-38439.42</v>
      </c>
      <c r="F42" s="87">
        <f>+SUMIF('Cash Flow'!$A$6:$A$67,$A42,'Cash Flow'!F$6:F$67)</f>
        <v>-20939.419999999991</v>
      </c>
      <c r="G42" s="87">
        <f>+SUMIF('Cash Flow'!$A$6:$A$67,$A42,'Cash Flow'!G$6:G$67)</f>
        <v>-20939.419999999991</v>
      </c>
      <c r="H42" s="87">
        <f>+SUMIF('Cash Flow'!$A$6:$A$67,$A42,'Cash Flow'!H$6:H$67)</f>
        <v>-65939.42</v>
      </c>
      <c r="I42" s="87">
        <f>+SUMIF('Cash Flow'!$A$6:$A$67,$A42,'Cash Flow'!I$6:I$67)</f>
        <v>-24939.419999999991</v>
      </c>
      <c r="J42" s="87">
        <f>+SUMIF('Cash Flow'!$A$6:$A$67,$A42,'Cash Flow'!J$6:J$67)</f>
        <v>-21939.419999999991</v>
      </c>
      <c r="K42" s="87">
        <f>+SUMIF('Cash Flow'!$A$6:$A$67,$A42,'Cash Flow'!K$6:K$67)</f>
        <v>-40439.42</v>
      </c>
      <c r="L42" s="87">
        <f>+SUMIF('Cash Flow'!$A$6:$A$67,$A42,'Cash Flow'!L$6:L$67)</f>
        <v>-35939.419999999991</v>
      </c>
      <c r="M42" s="87">
        <f>+SUMIF('Cash Flow'!$A$6:$A$67,$A42,'Cash Flow'!M$6:M$67)</f>
        <v>-20939.419999999991</v>
      </c>
      <c r="N42" s="87">
        <f>+SUMIF('Cash Flow'!$A$6:$A$67,$A42,'Cash Flow'!N$6:N$67)</f>
        <v>-20939.419999999991</v>
      </c>
      <c r="O42" s="87">
        <f>+SUMIF('Cash Flow'!$A$6:$A$67,$A42,'Cash Flow'!O$6:O$67)</f>
        <v>-24939.419999999991</v>
      </c>
      <c r="P42" s="87">
        <f>+SUMIF('Cash Flow'!$A$6:$A$67,$A42,'Cash Flow'!P$6:P$67)</f>
        <v>-48392.38</v>
      </c>
      <c r="Q42" s="124">
        <f>SUM(E42:P42)</f>
        <v>-384725.99999999988</v>
      </c>
      <c r="R42" s="89">
        <f>MAX(E42:P42)</f>
        <v>-20939.419999999991</v>
      </c>
      <c r="S42" s="89">
        <f>MIN(E42:P42)</f>
        <v>-65939.42</v>
      </c>
      <c r="T42" s="89">
        <f>MEDIAN(E42:P42)</f>
        <v>-24939.419999999991</v>
      </c>
      <c r="U42" s="89">
        <f>AVERAGE(E42:P42)</f>
        <v>-32060.499999999989</v>
      </c>
    </row>
    <row r="43" spans="1:22" s="85" customFormat="1" ht="22.5" customHeight="1">
      <c r="A43" s="90" t="str">
        <f>+'Cash Flow'!A67</f>
        <v>Net Cash Flow</v>
      </c>
      <c r="B43" s="91"/>
      <c r="C43" s="91"/>
      <c r="D43" s="540">
        <f>+SUMIF('Cash Flow'!$A$6:$A$67,$A43,'Cash Flow'!D$6:D$67)</f>
        <v>193661.04840657217</v>
      </c>
      <c r="E43" s="541">
        <f>+SUMIF('Cash Flow'!$A$6:$A$67,$A43,'Cash Flow'!E$6:E$67)</f>
        <v>-19347.299876359019</v>
      </c>
      <c r="F43" s="541">
        <f>+SUMIF('Cash Flow'!$A$6:$A$67,$A43,'Cash Flow'!F$6:F$67)</f>
        <v>-1871.9828559612033</v>
      </c>
      <c r="G43" s="541">
        <f>+SUMIF('Cash Flow'!$A$6:$A$67,$A43,'Cash Flow'!G$6:G$67)</f>
        <v>-1928.6550084098744</v>
      </c>
      <c r="H43" s="541">
        <f>+SUMIF('Cash Flow'!$A$6:$A$67,$A43,'Cash Flow'!H$6:H$67)</f>
        <v>-46990.203481818593</v>
      </c>
      <c r="I43" s="541">
        <f>+SUMIF('Cash Flow'!$A$6:$A$67,$A43,'Cash Flow'!I$6:I$67)</f>
        <v>-6000.7540868415126</v>
      </c>
      <c r="J43" s="541">
        <f>+SUMIF('Cash Flow'!$A$6:$A$67,$A43,'Cash Flow'!J$6:J$67)</f>
        <v>-3029.2555612500473</v>
      </c>
      <c r="K43" s="541">
        <f>+SUMIF('Cash Flow'!$A$6:$A$67,$A43,'Cash Flow'!K$6:K$67)</f>
        <v>-21574.130873810242</v>
      </c>
      <c r="L43" s="541">
        <f>+SUMIF('Cash Flow'!$A$6:$A$67,$A43,'Cash Flow'!L$6:L$67)</f>
        <v>-17096.471499362167</v>
      </c>
      <c r="M43" s="541">
        <f>+SUMIF('Cash Flow'!$A$6:$A$67,$A43,'Cash Flow'!M$6:M$67)</f>
        <v>-2101.3859026210921</v>
      </c>
      <c r="N43" s="541">
        <f>+SUMIF('Cash Flow'!$A$6:$A$67,$A43,'Cash Flow'!N$6:N$67)</f>
        <v>-2110.9302989729113</v>
      </c>
      <c r="O43" s="541">
        <f>+SUMIF('Cash Flow'!$A$6:$A$67,$A43,'Cash Flow'!O$6:O$67)</f>
        <v>-6121.8544707211367</v>
      </c>
      <c r="P43" s="541">
        <f ca="1">+SUMIF('Cash Flow'!$A$6:$A$67,$A43,'Cash Flow'!P$6:P$67)</f>
        <v>192754.73328069784</v>
      </c>
      <c r="Q43" s="125">
        <f ca="1">SUM(E43:P43)</f>
        <v>66338.315515958049</v>
      </c>
      <c r="R43" s="89">
        <f ca="1">MAX(E43:P43)</f>
        <v>192754.73328069784</v>
      </c>
      <c r="S43" s="89">
        <f ca="1">MIN(E43:P43)</f>
        <v>-46812.478978445812</v>
      </c>
      <c r="T43" s="89">
        <f ca="1">MEDIAN(E43:P43)</f>
        <v>-4358.5094291810874</v>
      </c>
      <c r="U43" s="89">
        <f ca="1">AVERAGE(E43:P43)</f>
        <v>5528.1929596631708</v>
      </c>
      <c r="V43" s="778">
        <f ca="1">Q43/Q28</f>
        <v>0.14707063545932642</v>
      </c>
    </row>
    <row r="44" spans="1:22" s="85" customFormat="1" ht="22.5" hidden="1" customHeight="1" outlineLevel="1">
      <c r="A44" s="90" t="str">
        <f>+'Cash Flow'!A68</f>
        <v>Net cash flow excluding interet income</v>
      </c>
      <c r="B44" s="91"/>
      <c r="C44" s="91"/>
      <c r="D44" s="540">
        <f>+SUMIF('Cash Flow'!$A$6:$A$68,$A44,'Cash Flow'!D$6:D$68)</f>
        <v>193272.73396907217</v>
      </c>
      <c r="E44" s="541">
        <f>+SUMIF('Cash Flow'!$A$6:$A$68,$A44,'Cash Flow'!E$6:E$68)</f>
        <v>-19625.890360824738</v>
      </c>
      <c r="F44" s="541">
        <f>+SUMIF('Cash Flow'!$A$6:$A$68,$A44,'Cash Flow'!F$6:F$68)</f>
        <v>-2125.890360824731</v>
      </c>
      <c r="G44" s="541">
        <f>+SUMIF('Cash Flow'!$A$6:$A$68,$A44,'Cash Flow'!G$6:G$68)</f>
        <v>-2125.890360824731</v>
      </c>
      <c r="H44" s="541">
        <f>+SUMIF('Cash Flow'!$A$6:$A$68,$A44,'Cash Flow'!H$6:H$68)</f>
        <v>-47125.890360824735</v>
      </c>
      <c r="I44" s="541">
        <f>+SUMIF('Cash Flow'!$A$6:$A$68,$A44,'Cash Flow'!I$6:I$68)</f>
        <v>-6125.890360824731</v>
      </c>
      <c r="J44" s="541">
        <f>+SUMIF('Cash Flow'!$A$6:$A$68,$A44,'Cash Flow'!J$6:J$68)</f>
        <v>-3125.890360824731</v>
      </c>
      <c r="K44" s="541">
        <f>+SUMIF('Cash Flow'!$A$6:$A$68,$A44,'Cash Flow'!K$6:K$68)</f>
        <v>-21625.890360824738</v>
      </c>
      <c r="L44" s="541">
        <f>+SUMIF('Cash Flow'!$A$6:$A$68,$A44,'Cash Flow'!L$6:L$68)</f>
        <v>-17125.890360824731</v>
      </c>
      <c r="M44" s="541">
        <f>+SUMIF('Cash Flow'!$A$6:$A$68,$A44,'Cash Flow'!M$6:M$68)</f>
        <v>-2125.890360824731</v>
      </c>
      <c r="N44" s="541">
        <f>+SUMIF('Cash Flow'!$A$6:$A$68,$A44,'Cash Flow'!N$6:N$68)</f>
        <v>-2125.890360824731</v>
      </c>
      <c r="O44" s="541">
        <f>+SUMIF('Cash Flow'!$A$6:$A$68,$A44,'Cash Flow'!O$6:O$68)</f>
        <v>-6125.890360824731</v>
      </c>
      <c r="P44" s="541">
        <f>+SUMIF('Cash Flow'!$A$6:$A$68,$A44,'Cash Flow'!P$6:P$68)</f>
        <v>187061.79396907217</v>
      </c>
      <c r="Q44" s="125">
        <f>SUM(E44:P44)</f>
        <v>57677.000000000087</v>
      </c>
      <c r="S44" s="89"/>
      <c r="U44" s="205"/>
    </row>
    <row r="45" spans="1:22" s="85" customFormat="1" ht="16.5" hidden="1" customHeight="1" outlineLevel="1">
      <c r="D45" s="140"/>
      <c r="E45" s="140"/>
      <c r="F45" s="140" t="b">
        <f t="shared" ref="F45:Q45" si="2">+ROUND(D43,4)=ROUND(D28+D42,4)</f>
        <v>1</v>
      </c>
      <c r="G45" s="542" t="b">
        <f t="shared" si="2"/>
        <v>1</v>
      </c>
      <c r="H45" s="140" t="b">
        <f t="shared" si="2"/>
        <v>1</v>
      </c>
      <c r="I45" s="140" t="b">
        <f t="shared" si="2"/>
        <v>1</v>
      </c>
      <c r="J45" s="140" t="b">
        <f t="shared" si="2"/>
        <v>1</v>
      </c>
      <c r="K45" s="140" t="b">
        <f t="shared" si="2"/>
        <v>1</v>
      </c>
      <c r="L45" s="140" t="b">
        <f t="shared" si="2"/>
        <v>1</v>
      </c>
      <c r="M45" s="140" t="b">
        <f t="shared" si="2"/>
        <v>1</v>
      </c>
      <c r="N45" s="140" t="b">
        <f t="shared" si="2"/>
        <v>1</v>
      </c>
      <c r="O45" s="140" t="b">
        <f t="shared" si="2"/>
        <v>1</v>
      </c>
      <c r="P45" s="140" t="b">
        <f t="shared" si="2"/>
        <v>1</v>
      </c>
      <c r="Q45" s="140" t="b">
        <f t="shared" si="2"/>
        <v>1</v>
      </c>
      <c r="U45" s="205"/>
    </row>
    <row r="46" spans="1:22" s="85" customFormat="1" ht="16.5" hidden="1" customHeight="1" outlineLevel="1">
      <c r="D46" s="140"/>
      <c r="E46" s="140"/>
      <c r="F46" s="140"/>
      <c r="G46" s="140"/>
      <c r="H46" s="140"/>
      <c r="I46" s="140"/>
      <c r="J46" s="140"/>
      <c r="K46" s="140"/>
      <c r="L46" s="140"/>
      <c r="M46" s="140"/>
      <c r="N46" s="140"/>
      <c r="O46" s="140"/>
      <c r="P46" s="140"/>
      <c r="Q46" s="140"/>
      <c r="U46" s="205"/>
    </row>
    <row r="47" spans="1:22" s="85" customFormat="1" ht="22.5" customHeight="1" collapsed="1">
      <c r="A47" s="90" t="s">
        <v>443</v>
      </c>
      <c r="B47" s="91"/>
      <c r="C47" s="91"/>
      <c r="D47" s="540"/>
      <c r="E47" s="541">
        <f>+SUM($E$43:E43)</f>
        <v>-19347.299876359019</v>
      </c>
      <c r="F47" s="541">
        <f>+SUM($E$43:F43)</f>
        <v>-21219.282732320222</v>
      </c>
      <c r="G47" s="541">
        <f>+SUM($E$43:G43)</f>
        <v>-23147.937740730096</v>
      </c>
      <c r="H47" s="541">
        <f>+SUM($E$43:H43)</f>
        <v>-70138.141222548686</v>
      </c>
      <c r="I47" s="541">
        <f>+SUM($E$43:I43)</f>
        <v>-76138.895309390195</v>
      </c>
      <c r="J47" s="541">
        <f>+SUM($E$43:J43)</f>
        <v>-79168.150870640238</v>
      </c>
      <c r="K47" s="541">
        <f>+SUM($E$43:K43)</f>
        <v>-100742.28174445048</v>
      </c>
      <c r="L47" s="541">
        <f>+SUM($E$43:L43)</f>
        <v>-117838.75324381265</v>
      </c>
      <c r="M47" s="541">
        <f>+SUM($E$43:M43)</f>
        <v>-119940.13914643374</v>
      </c>
      <c r="N47" s="541">
        <f>+SUM($E$43:N43)</f>
        <v>-122051.06944540664</v>
      </c>
      <c r="O47" s="541">
        <f>+SUM($E$43:O43)</f>
        <v>-128172.92391612778</v>
      </c>
      <c r="P47" s="541">
        <f ca="1">+SUM($E$43:P43)</f>
        <v>66338.315515958049</v>
      </c>
      <c r="Q47" s="125">
        <f ca="1">+Q43</f>
        <v>66338.315515958049</v>
      </c>
      <c r="R47" s="626"/>
      <c r="S47" s="89"/>
      <c r="U47" s="205"/>
    </row>
    <row r="48" spans="1:22" ht="16.5" customHeight="1">
      <c r="A48" s="75" t="s">
        <v>532</v>
      </c>
      <c r="E48" s="75">
        <f>IF($Z$17+SUM($E42:E$42)&gt;0,1,0)</f>
        <v>1</v>
      </c>
      <c r="F48" s="75">
        <f>IF($Z$17+SUM($E42:F$42)&gt;0,1,0)</f>
        <v>1</v>
      </c>
      <c r="G48" s="75">
        <f>IF($Z$17+SUM($E42:G$42)&gt;0,1,0)</f>
        <v>1</v>
      </c>
      <c r="H48" s="75">
        <f>IF($Z$17+SUM($E42:H$42)&gt;0,1,0)</f>
        <v>1</v>
      </c>
      <c r="I48" s="75">
        <f>IF($Z$17+SUM($E42:I$42)&gt;0,1,0)</f>
        <v>1</v>
      </c>
      <c r="J48" s="75">
        <f>IF($Z$17+SUM($E42:J$42)&gt;0,1,0)</f>
        <v>1</v>
      </c>
      <c r="K48" s="75">
        <f>IF($Z$17+SUM($E42:K$42)&gt;0,1,0)</f>
        <v>1</v>
      </c>
      <c r="L48" s="75">
        <f>IF($Z$17+SUM($E42:L$42)&gt;0,1,0)</f>
        <v>1</v>
      </c>
      <c r="M48" s="75">
        <f>IF($Z$17+SUM($E42:M$42)&gt;0,1,0)</f>
        <v>1</v>
      </c>
      <c r="N48" s="75">
        <f>IF($Z$17+SUM($E42:N$42)&gt;0,1,0)</f>
        <v>1</v>
      </c>
      <c r="O48" s="75">
        <f>IF($Z$17+SUM($E42:O$42)&gt;0,1,0)</f>
        <v>1</v>
      </c>
      <c r="P48" s="75">
        <f>IF($Z$17+SUM($E42:P$42)&gt;0,1,0)</f>
        <v>1</v>
      </c>
      <c r="Q48" s="850">
        <f>IF(P48=1,-Z17/AVERAGE(E42:P42),SUM(E48:P48))</f>
        <v>15.815411487656155</v>
      </c>
      <c r="U48" s="206"/>
    </row>
    <row r="49" spans="1:17" ht="16.5" customHeight="1">
      <c r="A49" s="75" t="s">
        <v>533</v>
      </c>
      <c r="E49" s="75">
        <f>IF($Z$12+SUM($E$43:E43)&gt;0,1,0)</f>
        <v>1</v>
      </c>
      <c r="F49" s="75">
        <f>IF($Z$12+SUM($E$43:F43)&gt;0,1,0)</f>
        <v>1</v>
      </c>
      <c r="G49" s="75">
        <f>IF($Z$12+SUM($E$43:G43)&gt;0,1,0)</f>
        <v>1</v>
      </c>
      <c r="H49" s="75">
        <f>IF($Z$12+SUM($E$43:H43)&gt;0,1,0)</f>
        <v>1</v>
      </c>
      <c r="I49" s="75">
        <f>IF($Z$12+SUM($E$43:I43)&gt;0,1,0)</f>
        <v>1</v>
      </c>
      <c r="J49" s="75">
        <f>IF($Z$12+SUM($E$43:J43)&gt;0,1,0)</f>
        <v>1</v>
      </c>
      <c r="K49" s="75">
        <f>IF($Z$12+SUM($E$43:K43)&gt;0,1,0)</f>
        <v>1</v>
      </c>
      <c r="L49" s="75">
        <f>IF($Z$12+SUM($E$43:L43)&gt;0,1,0)</f>
        <v>1</v>
      </c>
      <c r="M49" s="75">
        <f>IF($Z$12+SUM($E$43:M43)&gt;0,1,0)</f>
        <v>1</v>
      </c>
      <c r="N49" s="75">
        <f>IF($Z$12+SUM($E$43:N43)&gt;0,1,0)</f>
        <v>1</v>
      </c>
      <c r="O49" s="75">
        <f>IF($Z$12+SUM($E$43:O43)&gt;0,1,0)</f>
        <v>1</v>
      </c>
      <c r="P49" s="75">
        <f ca="1">IF($Z$12+SUM($E$43:P43)&gt;0,1,0)</f>
        <v>1</v>
      </c>
      <c r="Q49" s="75" t="str">
        <f ca="1">IF(Z12+Q43&gt;0,"More cash than necessary",SUM(E49:P49))</f>
        <v>More cash than necessary</v>
      </c>
    </row>
    <row r="65" spans="1:41" ht="16.5" customHeight="1">
      <c r="X65" s="75" t="s">
        <v>92</v>
      </c>
    </row>
    <row r="71" spans="1:41" ht="16.5" customHeight="1" thickBot="1"/>
    <row r="72" spans="1:41" ht="16.5" customHeight="1">
      <c r="A72" s="134"/>
      <c r="B72" s="135"/>
      <c r="C72" s="135"/>
      <c r="D72" s="135"/>
      <c r="E72" s="135"/>
      <c r="F72" s="135"/>
      <c r="G72" s="135"/>
      <c r="H72" s="135"/>
      <c r="I72" s="135"/>
      <c r="J72" s="135"/>
      <c r="K72" s="135"/>
      <c r="L72" s="135"/>
      <c r="M72" s="135"/>
      <c r="N72" s="135"/>
      <c r="O72" s="135"/>
      <c r="P72" s="135"/>
      <c r="Q72" s="135"/>
      <c r="R72" s="135"/>
      <c r="S72" s="135"/>
      <c r="T72" s="136"/>
    </row>
    <row r="73" spans="1:41" ht="25">
      <c r="A73" s="137" t="s">
        <v>82</v>
      </c>
      <c r="B73" s="77"/>
      <c r="C73" s="77"/>
      <c r="D73" s="77"/>
      <c r="E73" s="78"/>
      <c r="F73" s="77"/>
      <c r="G73" s="77"/>
      <c r="H73" s="77"/>
      <c r="I73" s="77"/>
      <c r="J73" s="77"/>
      <c r="K73" s="77"/>
      <c r="L73" s="77"/>
      <c r="M73" s="77"/>
      <c r="N73" s="77"/>
      <c r="O73" s="77"/>
      <c r="P73" s="77"/>
      <c r="Q73" s="77"/>
      <c r="R73" s="77"/>
      <c r="S73" s="77"/>
      <c r="T73" s="138"/>
      <c r="AH73" s="79" t="s">
        <v>97</v>
      </c>
      <c r="AI73" s="79"/>
      <c r="AJ73" s="79"/>
      <c r="AK73" s="79"/>
      <c r="AL73" s="79"/>
    </row>
    <row r="74" spans="1:41" s="85" customFormat="1" ht="16.5" customHeight="1">
      <c r="A74" s="139"/>
      <c r="B74" s="140"/>
      <c r="C74" s="140"/>
      <c r="D74" s="140"/>
      <c r="E74" s="94" t="s">
        <v>80</v>
      </c>
      <c r="F74" s="140"/>
      <c r="G74" s="140"/>
      <c r="H74" s="140"/>
      <c r="I74" s="140"/>
      <c r="J74" s="140"/>
      <c r="K74" s="94" t="s">
        <v>80</v>
      </c>
      <c r="L74" s="94" t="s">
        <v>162</v>
      </c>
      <c r="M74" s="95"/>
      <c r="N74" s="95"/>
      <c r="O74" s="140"/>
      <c r="P74" s="140"/>
      <c r="Q74" s="140"/>
      <c r="R74" s="140"/>
      <c r="T74" s="141"/>
      <c r="V74" s="94" t="s">
        <v>96</v>
      </c>
      <c r="W74" s="75"/>
      <c r="X74" s="75"/>
      <c r="Y74" s="96" t="s">
        <v>93</v>
      </c>
      <c r="Z74" s="96"/>
      <c r="AA74" s="96"/>
      <c r="AB74" s="96"/>
      <c r="AC74" s="96" t="s">
        <v>94</v>
      </c>
      <c r="AD74" s="96"/>
      <c r="AE74" s="96"/>
      <c r="AF74" s="96"/>
      <c r="AH74" s="96" t="s">
        <v>93</v>
      </c>
      <c r="AI74" s="96"/>
      <c r="AJ74" s="96"/>
      <c r="AK74" s="96"/>
      <c r="AL74" s="96" t="s">
        <v>94</v>
      </c>
      <c r="AM74" s="96"/>
      <c r="AN74" s="96"/>
      <c r="AO74" s="96"/>
    </row>
    <row r="75" spans="1:41" s="85" customFormat="1" ht="16.5" customHeight="1" thickBot="1">
      <c r="A75" s="142" t="s">
        <v>89</v>
      </c>
      <c r="B75" s="96"/>
      <c r="C75" s="96"/>
      <c r="D75" s="96"/>
      <c r="E75" s="97" t="s">
        <v>83</v>
      </c>
      <c r="F75" s="1098"/>
      <c r="G75" s="1098"/>
      <c r="H75" s="143" t="s">
        <v>90</v>
      </c>
      <c r="I75" s="96"/>
      <c r="J75" s="96"/>
      <c r="K75" s="97" t="s">
        <v>83</v>
      </c>
      <c r="L75" s="97" t="s">
        <v>163</v>
      </c>
      <c r="M75" s="97" t="s">
        <v>84</v>
      </c>
      <c r="N75" s="94" t="s">
        <v>9</v>
      </c>
      <c r="O75" s="104" t="s">
        <v>91</v>
      </c>
      <c r="P75" s="105"/>
      <c r="Q75" s="105"/>
      <c r="R75"/>
      <c r="T75" s="141"/>
      <c r="U75" s="85" t="s">
        <v>170</v>
      </c>
      <c r="V75" s="106">
        <f>M79-K79</f>
        <v>384998.93055459333</v>
      </c>
      <c r="W75" s="75" t="str">
        <f>IF(V75&lt;0,"total deficit","total excess")</f>
        <v>total excess</v>
      </c>
      <c r="X75" s="75"/>
      <c r="Y75" s="94" t="s">
        <v>95</v>
      </c>
      <c r="Z75" s="94" t="s">
        <v>4</v>
      </c>
      <c r="AA75" s="94" t="s">
        <v>6</v>
      </c>
      <c r="AB75" s="94" t="s">
        <v>7</v>
      </c>
      <c r="AC75" s="94" t="s">
        <v>95</v>
      </c>
      <c r="AD75" s="94" t="s">
        <v>4</v>
      </c>
      <c r="AE75" s="94" t="s">
        <v>6</v>
      </c>
      <c r="AF75" s="94" t="s">
        <v>7</v>
      </c>
      <c r="AH75" s="94" t="s">
        <v>95</v>
      </c>
      <c r="AI75" s="94" t="s">
        <v>4</v>
      </c>
      <c r="AJ75" s="94" t="s">
        <v>6</v>
      </c>
      <c r="AK75" s="94" t="s">
        <v>7</v>
      </c>
      <c r="AL75" s="94" t="s">
        <v>95</v>
      </c>
      <c r="AM75" s="94" t="s">
        <v>4</v>
      </c>
      <c r="AN75" s="94" t="s">
        <v>6</v>
      </c>
      <c r="AO75" s="94" t="s">
        <v>7</v>
      </c>
    </row>
    <row r="76" spans="1:41" s="85" customFormat="1" ht="16.5" customHeight="1">
      <c r="A76" s="144">
        <v>2</v>
      </c>
      <c r="B76" s="85" t="s">
        <v>85</v>
      </c>
      <c r="E76" s="145">
        <f>MAX(-(+$E$43+$F$43),0)</f>
        <v>21219.282732320222</v>
      </c>
      <c r="H76" s="101">
        <v>1</v>
      </c>
      <c r="I76" s="85" t="s">
        <v>85</v>
      </c>
      <c r="K76" s="145">
        <f>MAX(-SUM($E$43),0)</f>
        <v>19347.299876359019</v>
      </c>
      <c r="L76" s="145">
        <v>1400</v>
      </c>
      <c r="M76" s="98">
        <f>+'Balance Sheet'!B9</f>
        <v>132050</v>
      </c>
      <c r="N76" s="120">
        <f>+Y80</f>
        <v>5.0000000000000001E-4</v>
      </c>
      <c r="O76" s="146">
        <f>AI76</f>
        <v>0</v>
      </c>
      <c r="P76" s="147"/>
      <c r="Q76" s="148"/>
      <c r="R76" s="145"/>
      <c r="S76" s="145"/>
      <c r="T76" s="141"/>
      <c r="U76" s="145">
        <f>+V76</f>
        <v>130650</v>
      </c>
      <c r="V76" s="106">
        <f>M76-L76</f>
        <v>130650</v>
      </c>
      <c r="X76" s="96" t="s">
        <v>95</v>
      </c>
      <c r="Y76" s="97"/>
      <c r="Z76" s="107">
        <f>IF(V76&lt;0,IF(V77&lt;0,0,MIN(V77,-V76)),0)</f>
        <v>0</v>
      </c>
      <c r="AA76" s="108">
        <f>IF(V76&lt;0,IF(V78&lt;0,0,MIN(V78,-V76-Z76)),0)</f>
        <v>0</v>
      </c>
      <c r="AB76" s="107">
        <f>IF(V76&lt;0,MAX(-V76-SUM(Z76:AA76),0),0)</f>
        <v>0</v>
      </c>
      <c r="AC76" s="97"/>
      <c r="AD76" s="107">
        <f>IF(V76&gt;0,IF(V77&gt;0,0,MIN(-V77,V76)),0)</f>
        <v>0</v>
      </c>
      <c r="AE76" s="107">
        <f>IF(V76&gt;0,IF(V78&gt;0,0,MIN(-V78,V76-AD76)),0)</f>
        <v>0</v>
      </c>
      <c r="AF76" s="107">
        <f>IF(V76&gt;0,MAX(V76-SUM(AD76:AE76),0),0)</f>
        <v>130650</v>
      </c>
      <c r="AH76" s="85">
        <f t="shared" ref="AH76:AK78" si="3">IF(Y76&gt;0,"Move "&amp;TEXT(Y76,"$00,000")&amp;" From "&amp;Y$75&amp;" To "&amp;$X76,0)</f>
        <v>0</v>
      </c>
      <c r="AI76" s="85">
        <f>IF(Z76&gt;0,"Move "&amp;TEXT(Z76,"$##,#00")&amp;" From "&amp;Z$75&amp;" To "&amp;$X76,0)</f>
        <v>0</v>
      </c>
      <c r="AJ76" s="85">
        <f t="shared" si="3"/>
        <v>0</v>
      </c>
      <c r="AK76" s="85">
        <f t="shared" si="3"/>
        <v>0</v>
      </c>
      <c r="AL76" s="85">
        <f t="shared" ref="AL76:AM78" si="4">IF(AC76&gt;0,"Move "&amp;TEXT(AC76,"$00,000")&amp;" From "&amp;$X76&amp;" To "&amp;AC$75,0)</f>
        <v>0</v>
      </c>
      <c r="AM76" s="85">
        <f t="shared" si="4"/>
        <v>0</v>
      </c>
      <c r="AN76" s="85">
        <f t="shared" ref="AN76:AO78" si="5">IF(AE76&gt;0,"Move "&amp;TEXT(AE76,"$00,000")&amp;" From "&amp;$X76&amp;" To "&amp;AE$75,0)</f>
        <v>0</v>
      </c>
      <c r="AO76" s="85" t="str">
        <f t="shared" si="5"/>
        <v>Move $130,650 From Checking To Stock</v>
      </c>
    </row>
    <row r="77" spans="1:41" s="85" customFormat="1" ht="16.5" customHeight="1">
      <c r="A77" s="144">
        <v>2</v>
      </c>
      <c r="B77" s="85" t="s">
        <v>86</v>
      </c>
      <c r="E77" s="145">
        <f>MAX(-SUM($G$43:$H$43),0)</f>
        <v>48918.858490228464</v>
      </c>
      <c r="H77" s="102">
        <v>11</v>
      </c>
      <c r="I77" s="85" t="s">
        <v>86</v>
      </c>
      <c r="K77" s="145">
        <f>MAX(-SUM($F$43:$J$43),0)</f>
        <v>59820.850994281223</v>
      </c>
      <c r="L77" s="145">
        <v>60000</v>
      </c>
      <c r="M77" s="98">
        <f>+'Balance Sheet'!B13</f>
        <v>240000</v>
      </c>
      <c r="N77" s="120">
        <f>+Z80</f>
        <v>3.6499999999999998E-2</v>
      </c>
      <c r="O77" s="146" t="str">
        <f>AO77</f>
        <v>Move $180,000 From Money Market To Stock</v>
      </c>
      <c r="P77" s="147"/>
      <c r="Q77" s="148"/>
      <c r="R77" s="145"/>
      <c r="S77" s="145"/>
      <c r="T77" s="141"/>
      <c r="U77" s="145">
        <f>MAX(-SUM($F$42:$P$42),0)</f>
        <v>346286.5799999999</v>
      </c>
      <c r="V77" s="106">
        <f>M77-L77</f>
        <v>180000</v>
      </c>
      <c r="X77" s="109" t="s">
        <v>4</v>
      </c>
      <c r="Y77" s="110">
        <f>IF(V77&lt;0,IF(V76&lt;0,0,MIN(V76-Y76,-V77)),0)</f>
        <v>0</v>
      </c>
      <c r="Z77" s="111"/>
      <c r="AA77" s="110">
        <f>IF(V77&lt;0,IF(V78&lt;0,0,MIN(V78-AA76,-V77-Y77)),0)</f>
        <v>0</v>
      </c>
      <c r="AB77" s="110">
        <f>IF(V77&lt;0,MAX(-V77-SUM(Y77:AA77),0),0)</f>
        <v>0</v>
      </c>
      <c r="AC77" s="112">
        <f>IF(V77&gt;0,IF(V76&gt;0,0,MIN(-V76-AC76,V77)),0)</f>
        <v>0</v>
      </c>
      <c r="AD77" s="113"/>
      <c r="AE77" s="112">
        <f>IF(V77&gt;0,IF(V78&gt;0,0,MIN(-V78-AE76,V77-AC77)),0)</f>
        <v>0</v>
      </c>
      <c r="AF77" s="114">
        <f>IF(V77&gt;0,MAX(V77-SUM(AC77:AE77),0),0)</f>
        <v>180000</v>
      </c>
      <c r="AH77" s="85">
        <f t="shared" si="3"/>
        <v>0</v>
      </c>
      <c r="AI77" s="85">
        <f t="shared" si="3"/>
        <v>0</v>
      </c>
      <c r="AJ77" s="85">
        <f t="shared" si="3"/>
        <v>0</v>
      </c>
      <c r="AK77" s="85">
        <f t="shared" si="3"/>
        <v>0</v>
      </c>
      <c r="AL77" s="85">
        <f t="shared" si="4"/>
        <v>0</v>
      </c>
      <c r="AM77" s="85">
        <f t="shared" si="4"/>
        <v>0</v>
      </c>
      <c r="AN77" s="85">
        <f t="shared" si="5"/>
        <v>0</v>
      </c>
      <c r="AO77" s="85" t="str">
        <f t="shared" si="5"/>
        <v>Move $180,000 From Money Market To Stock</v>
      </c>
    </row>
    <row r="78" spans="1:41" s="85" customFormat="1" ht="16.5" customHeight="1" thickBot="1">
      <c r="A78" s="149">
        <v>2</v>
      </c>
      <c r="B78" s="96" t="s">
        <v>87</v>
      </c>
      <c r="C78" s="96"/>
      <c r="D78" s="96"/>
      <c r="E78" s="99">
        <f>MAX(-(I43+$J$43),0)</f>
        <v>9030.0096480915599</v>
      </c>
      <c r="H78" s="103">
        <v>0</v>
      </c>
      <c r="I78" s="96" t="s">
        <v>87</v>
      </c>
      <c r="J78" s="96"/>
      <c r="K78" s="99">
        <f>MAX(-SUM(K43:N43),0)</f>
        <v>42882.918574766416</v>
      </c>
      <c r="L78" s="99">
        <v>60000</v>
      </c>
      <c r="M78" s="100">
        <f>+'Balance Sheet'!B15</f>
        <v>135000</v>
      </c>
      <c r="N78" s="120">
        <f>+AA80</f>
        <v>4.7500000000000001E-2</v>
      </c>
      <c r="O78" s="146"/>
      <c r="P78" s="147"/>
      <c r="Q78" s="148"/>
      <c r="T78" s="141"/>
      <c r="U78" s="99">
        <v>0</v>
      </c>
      <c r="V78" s="106">
        <f>M78-L78</f>
        <v>75000</v>
      </c>
      <c r="X78" s="115" t="s">
        <v>6</v>
      </c>
      <c r="Y78" s="116">
        <f>IF(V78&lt;0,IF(V76&lt;0,0,MIN(V76-SUM(Y76:Y77),-V78)),0)</f>
        <v>0</v>
      </c>
      <c r="Z78" s="116">
        <f>IF(V78&lt;0,IF(V77&lt;0,0,MIN(V77-SUM(Z76:Z77),-V78-Y78)),0)</f>
        <v>0</v>
      </c>
      <c r="AA78" s="117"/>
      <c r="AB78" s="116">
        <f>IF(V78&lt;0,MAX(-V78-SUM(Y78:AA78),0),0)</f>
        <v>0</v>
      </c>
      <c r="AC78" s="118">
        <f>IF(V78&gt;0,IF(V76&gt;0,0,MIN(-V76-SUM(AC76:AC77),V78)),0)</f>
        <v>0</v>
      </c>
      <c r="AD78" s="118">
        <f>IF(V78&gt;0,IF(V77&gt;0,0,MIN(-V77-SUM(AD76:AD77),V78-AC78)),0)</f>
        <v>0</v>
      </c>
      <c r="AE78" s="117"/>
      <c r="AF78" s="119">
        <f>IF(V78&gt;0,MAX(V78-SUM(AC78:AE78),0),0)</f>
        <v>75000</v>
      </c>
      <c r="AH78" s="85">
        <f t="shared" si="3"/>
        <v>0</v>
      </c>
      <c r="AI78" s="85">
        <f t="shared" si="3"/>
        <v>0</v>
      </c>
      <c r="AJ78" s="85">
        <f t="shared" si="3"/>
        <v>0</v>
      </c>
      <c r="AK78" s="85">
        <f t="shared" si="3"/>
        <v>0</v>
      </c>
      <c r="AL78" s="85">
        <f t="shared" si="4"/>
        <v>0</v>
      </c>
      <c r="AM78" s="85">
        <f t="shared" si="4"/>
        <v>0</v>
      </c>
      <c r="AN78" s="85">
        <f t="shared" si="5"/>
        <v>0</v>
      </c>
      <c r="AO78" s="85" t="str">
        <f t="shared" si="5"/>
        <v>Move $75,000 From Treasuries To Stock</v>
      </c>
    </row>
    <row r="79" spans="1:41" s="85" customFormat="1" ht="16.5" customHeight="1">
      <c r="A79" s="150">
        <f>+A77+A76+A78</f>
        <v>6</v>
      </c>
      <c r="B79" s="85" t="s">
        <v>88</v>
      </c>
      <c r="E79" s="89">
        <f>SUM(E76:E78)</f>
        <v>79168.150870640238</v>
      </c>
      <c r="H79" s="151">
        <f>+H77+H76+H78</f>
        <v>12</v>
      </c>
      <c r="I79" s="85" t="s">
        <v>88</v>
      </c>
      <c r="K79" s="89">
        <f>SUM(K76:K78)</f>
        <v>122051.06944540665</v>
      </c>
      <c r="L79" s="89">
        <f>SUM(L76:L78)</f>
        <v>121400</v>
      </c>
      <c r="M79" s="89">
        <f>SUM(M76:M78)</f>
        <v>507050</v>
      </c>
      <c r="N79" s="152">
        <f>+AB80</f>
        <v>0.1</v>
      </c>
      <c r="O79" s="148"/>
      <c r="P79" s="147"/>
      <c r="Q79" s="148"/>
      <c r="T79" s="141"/>
      <c r="Y79" s="94" t="str">
        <f>IF(SUM(Y76:Y78)&gt;MAX(V76,0),"error","ok")</f>
        <v>ok</v>
      </c>
      <c r="Z79" s="94" t="str">
        <f>IF(SUM(Z76:Z78)&gt;MAX(V77,0),"error","ok")</f>
        <v>ok</v>
      </c>
      <c r="AA79" s="94" t="str">
        <f>IF(SUM(AA76:AA78)&gt;MAX(V78,0),"error","ok")</f>
        <v>ok</v>
      </c>
      <c r="AB79" s="94"/>
      <c r="AC79"/>
    </row>
    <row r="80" spans="1:41" s="85" customFormat="1" ht="16.5" customHeight="1">
      <c r="A80" s="153"/>
      <c r="M80" s="89">
        <f>+M79-L79</f>
        <v>385650</v>
      </c>
      <c r="T80" s="141"/>
      <c r="Y80" s="120">
        <f>'Balance Sheet'!E7</f>
        <v>5.0000000000000001E-4</v>
      </c>
      <c r="Z80" s="120">
        <f>+'Balance Sheet'!E10</f>
        <v>3.6499999999999998E-2</v>
      </c>
      <c r="AA80" s="207">
        <v>4.7500000000000001E-2</v>
      </c>
      <c r="AB80" s="207">
        <v>0.1</v>
      </c>
    </row>
    <row r="81" spans="1:29" ht="46.5" customHeight="1">
      <c r="A81" s="154"/>
      <c r="O81" s="1095" t="s">
        <v>103</v>
      </c>
      <c r="P81" s="1096"/>
      <c r="Q81" s="1097"/>
      <c r="R81" s="1097"/>
      <c r="S81" s="1097"/>
      <c r="T81" s="138"/>
      <c r="Y81" s="85" t="s">
        <v>84</v>
      </c>
      <c r="Z81" s="85"/>
      <c r="AA81" s="85"/>
      <c r="AB81" s="85"/>
      <c r="AC81" s="85" t="s">
        <v>99</v>
      </c>
    </row>
    <row r="82" spans="1:29" ht="22.5" customHeight="1">
      <c r="A82" s="154"/>
      <c r="O82" s="1095" t="str">
        <f>TEXT(AC82-Y82,"$##,000")&amp;"!!"</f>
        <v>$28,367!!</v>
      </c>
      <c r="P82" s="1096"/>
      <c r="Q82" s="155"/>
      <c r="R82" s="155"/>
      <c r="S82" s="155"/>
      <c r="T82" s="138"/>
      <c r="X82" s="122" t="s">
        <v>98</v>
      </c>
      <c r="Y82" s="98">
        <f>(M76*Y80+M77*Z80+M78*AA80)</f>
        <v>15238.525</v>
      </c>
      <c r="Z82" s="85"/>
      <c r="AA82" s="85"/>
      <c r="AB82" s="85"/>
      <c r="AC82" s="121">
        <f>L76*Y80+L77*Z80+L78*AA80+SUM(AF76:AF78)*AB80</f>
        <v>43605.7</v>
      </c>
    </row>
    <row r="83" spans="1:29" ht="30.75" customHeight="1">
      <c r="A83" s="154"/>
      <c r="F83" s="82"/>
      <c r="O83" s="1095" t="s">
        <v>104</v>
      </c>
      <c r="P83" s="1096"/>
      <c r="Q83" s="1097"/>
      <c r="R83" s="1097"/>
      <c r="S83" s="155"/>
      <c r="T83" s="138"/>
      <c r="Y83" s="81"/>
    </row>
    <row r="84" spans="1:29" ht="16.5" customHeight="1">
      <c r="A84" s="154"/>
      <c r="F84" s="82"/>
      <c r="T84" s="138"/>
    </row>
    <row r="85" spans="1:29" ht="16.5" customHeight="1">
      <c r="A85" s="154"/>
      <c r="F85" s="82"/>
      <c r="T85" s="138"/>
    </row>
    <row r="86" spans="1:29" ht="16.5" customHeight="1">
      <c r="A86" s="156" t="s">
        <v>110</v>
      </c>
      <c r="F86" s="82"/>
      <c r="T86" s="138"/>
    </row>
    <row r="87" spans="1:29" ht="16.5" customHeight="1">
      <c r="A87" s="156" t="s">
        <v>111</v>
      </c>
      <c r="F87" s="82"/>
      <c r="T87" s="138"/>
    </row>
    <row r="88" spans="1:29" ht="16.5" customHeight="1" thickBot="1">
      <c r="A88" s="157"/>
      <c r="B88" s="158"/>
      <c r="C88" s="158"/>
      <c r="D88" s="158"/>
      <c r="E88" s="158"/>
      <c r="F88" s="159"/>
      <c r="G88" s="158"/>
      <c r="H88" s="158"/>
      <c r="I88" s="158"/>
      <c r="J88" s="158"/>
      <c r="K88" s="158"/>
      <c r="L88" s="158"/>
      <c r="M88" s="158"/>
      <c r="N88" s="158"/>
      <c r="O88" s="158"/>
      <c r="P88" s="158"/>
      <c r="Q88" s="158"/>
      <c r="R88" s="158"/>
      <c r="S88" s="158"/>
      <c r="T88" s="160"/>
    </row>
    <row r="89" spans="1:29" ht="16.5" customHeight="1">
      <c r="A89" s="38"/>
      <c r="B89" s="38"/>
      <c r="C89" s="38"/>
      <c r="D89" s="38"/>
      <c r="E89" s="38"/>
      <c r="F89" s="38"/>
      <c r="G89" s="38"/>
      <c r="H89" s="38"/>
      <c r="I89" s="38"/>
      <c r="J89" s="38"/>
      <c r="K89" s="38"/>
      <c r="L89" s="38"/>
      <c r="M89" s="38"/>
      <c r="N89" s="38"/>
      <c r="P89" s="38"/>
      <c r="Q89" s="38"/>
      <c r="R89" s="38"/>
      <c r="S89" s="38"/>
    </row>
    <row r="90" spans="1:29" ht="25">
      <c r="A90" s="123" t="s">
        <v>82</v>
      </c>
      <c r="B90" s="72"/>
      <c r="C90" s="72"/>
      <c r="D90" s="72"/>
      <c r="E90" s="74"/>
      <c r="F90" s="72"/>
      <c r="G90" s="72"/>
      <c r="H90" s="72"/>
      <c r="I90" s="72"/>
      <c r="J90" s="72"/>
      <c r="K90" s="72"/>
      <c r="L90" s="72"/>
      <c r="M90" s="72"/>
      <c r="N90" s="72"/>
      <c r="O90" s="72"/>
      <c r="P90" s="72"/>
      <c r="Q90" s="72"/>
      <c r="R90" s="72"/>
      <c r="S90" s="38"/>
    </row>
    <row r="91" spans="1:29" ht="16.5" customHeight="1">
      <c r="A91" s="38"/>
      <c r="B91" s="38"/>
      <c r="C91" s="38"/>
      <c r="D91" s="38"/>
      <c r="E91" s="38"/>
      <c r="F91" s="38"/>
      <c r="G91" s="38"/>
      <c r="H91" s="38"/>
      <c r="I91" s="38"/>
      <c r="J91" s="38"/>
      <c r="K91" s="38"/>
      <c r="L91" s="38"/>
      <c r="M91" s="38"/>
      <c r="N91" s="38"/>
      <c r="O91" s="38"/>
      <c r="P91" s="38"/>
      <c r="Q91" s="38"/>
      <c r="R91" s="38"/>
      <c r="S91" s="38"/>
    </row>
    <row r="92" spans="1:29" ht="16.5" customHeight="1">
      <c r="B92" s="38"/>
      <c r="C92" s="38"/>
      <c r="D92" s="38"/>
      <c r="E92" s="38"/>
      <c r="F92" s="38"/>
      <c r="G92" s="38"/>
      <c r="H92" s="38"/>
      <c r="I92" s="38"/>
      <c r="J92" s="38"/>
      <c r="K92" s="38"/>
      <c r="L92" s="38"/>
      <c r="M92" s="38"/>
      <c r="N92" s="38"/>
      <c r="O92" s="38"/>
      <c r="P92" s="38"/>
      <c r="Q92" s="38"/>
      <c r="R92" s="38"/>
      <c r="S92" s="38"/>
    </row>
    <row r="93" spans="1:29" ht="16.5" customHeight="1">
      <c r="F93" s="38"/>
      <c r="G93" s="38"/>
      <c r="H93" s="38"/>
      <c r="I93" s="38"/>
      <c r="J93" s="38"/>
      <c r="K93" s="38"/>
      <c r="L93" s="38"/>
      <c r="M93" s="38"/>
      <c r="N93" s="38"/>
      <c r="O93" s="38"/>
      <c r="P93" s="38"/>
      <c r="Q93" s="38"/>
      <c r="R93" s="38"/>
      <c r="S93" s="38"/>
      <c r="U93" s="75" t="s">
        <v>3</v>
      </c>
      <c r="W93" s="81">
        <f>+Z12</f>
        <v>372050</v>
      </c>
    </row>
    <row r="94" spans="1:29" ht="16.5" customHeight="1">
      <c r="F94" s="38"/>
      <c r="G94" s="38"/>
      <c r="H94" s="38"/>
      <c r="I94" s="38"/>
      <c r="J94" s="38"/>
      <c r="K94" s="38"/>
      <c r="L94" s="38"/>
      <c r="M94" s="38"/>
      <c r="N94" s="38"/>
      <c r="O94" s="38"/>
      <c r="P94" s="38"/>
      <c r="Q94" s="38"/>
      <c r="R94" s="38"/>
      <c r="S94" s="38"/>
      <c r="U94" s="75" t="s">
        <v>6</v>
      </c>
      <c r="W94" s="81">
        <f>+'Balance Sheet'!B15</f>
        <v>135000</v>
      </c>
      <c r="X94" s="208" t="s">
        <v>257</v>
      </c>
      <c r="Z94" s="81">
        <f>+OPTIMIZER!E24</f>
        <v>132050</v>
      </c>
    </row>
    <row r="95" spans="1:29" ht="16.5" customHeight="1">
      <c r="F95" s="38"/>
      <c r="G95" s="38"/>
      <c r="H95" s="38"/>
      <c r="I95" s="38"/>
      <c r="J95" s="38"/>
      <c r="K95" s="38"/>
      <c r="L95" s="38"/>
      <c r="M95" s="38"/>
      <c r="N95" s="38"/>
      <c r="O95" s="38"/>
      <c r="P95" s="38"/>
      <c r="Q95" s="38"/>
      <c r="R95" s="38"/>
      <c r="S95" s="38"/>
      <c r="U95" s="75" t="s">
        <v>292</v>
      </c>
      <c r="W95" s="81">
        <f>+'Balance Sheet'!B16+'Balance Sheet'!B17+'Balance Sheet'!B18</f>
        <v>1509500</v>
      </c>
      <c r="X95" s="208" t="s">
        <v>290</v>
      </c>
      <c r="Z95" s="81">
        <f>+OPTIMIZER!E25</f>
        <v>240000</v>
      </c>
    </row>
    <row r="96" spans="1:29" ht="16.5" customHeight="1">
      <c r="F96" s="38"/>
      <c r="G96" s="38"/>
      <c r="H96" s="38"/>
      <c r="I96" s="38"/>
      <c r="J96" s="38"/>
      <c r="K96" s="38"/>
      <c r="L96" s="38"/>
      <c r="M96" s="38"/>
      <c r="N96" s="38"/>
      <c r="O96" s="38"/>
      <c r="P96" s="38"/>
      <c r="Q96" s="38"/>
      <c r="R96" s="38"/>
      <c r="S96" s="38"/>
      <c r="U96" s="75" t="s">
        <v>184</v>
      </c>
      <c r="W96" s="81">
        <f>+Z6</f>
        <v>1000000</v>
      </c>
      <c r="X96" s="208" t="s">
        <v>289</v>
      </c>
      <c r="Z96" s="81">
        <f>+OPTIMIZER!E26</f>
        <v>135000</v>
      </c>
    </row>
    <row r="97" spans="1:30" ht="16.5" customHeight="1">
      <c r="A97" s="130"/>
      <c r="F97" s="38"/>
      <c r="G97" s="38"/>
      <c r="H97" s="38"/>
      <c r="I97" s="38"/>
      <c r="J97" s="38"/>
      <c r="K97" s="38"/>
      <c r="L97" s="38"/>
      <c r="M97" s="38"/>
      <c r="N97" s="38"/>
      <c r="O97" s="38"/>
      <c r="P97" s="38"/>
      <c r="Q97" s="38"/>
      <c r="R97" s="38"/>
      <c r="S97" s="38"/>
      <c r="U97" s="75" t="s">
        <v>403</v>
      </c>
      <c r="W97" s="81">
        <f>+Z9</f>
        <v>250000</v>
      </c>
      <c r="X97" s="75" t="s">
        <v>518</v>
      </c>
      <c r="Z97" s="81">
        <f ca="1">+AC112</f>
        <v>1509500</v>
      </c>
    </row>
    <row r="98" spans="1:30" ht="16.5" customHeight="1">
      <c r="A98" s="130"/>
      <c r="F98" s="38"/>
      <c r="G98" s="38"/>
      <c r="H98" s="38"/>
      <c r="I98" s="38"/>
      <c r="J98" s="38"/>
      <c r="K98" s="38"/>
      <c r="L98" s="38"/>
      <c r="M98" s="38"/>
      <c r="N98" s="38"/>
      <c r="O98" s="38"/>
      <c r="P98" s="38"/>
      <c r="Q98" s="38"/>
      <c r="R98" s="38"/>
      <c r="S98" s="38"/>
      <c r="U98" s="75" t="s">
        <v>8</v>
      </c>
      <c r="W98" s="81">
        <f>+Z10</f>
        <v>1815000</v>
      </c>
      <c r="X98" s="75" t="s">
        <v>519</v>
      </c>
      <c r="Z98" s="81">
        <f>+AB131</f>
        <v>999999.99999999977</v>
      </c>
    </row>
    <row r="99" spans="1:30" ht="16.5" customHeight="1">
      <c r="A99" s="130"/>
      <c r="F99" s="38"/>
      <c r="G99" s="38"/>
      <c r="H99" s="38"/>
      <c r="I99" s="38"/>
      <c r="J99" s="38"/>
      <c r="K99" s="38"/>
      <c r="L99" s="38"/>
      <c r="M99" s="38"/>
      <c r="N99" s="38"/>
      <c r="O99" s="38"/>
      <c r="P99" s="38"/>
      <c r="Q99" s="38"/>
      <c r="R99" s="38"/>
      <c r="S99" s="38"/>
      <c r="U99" s="75" t="s">
        <v>436</v>
      </c>
      <c r="W99" s="81">
        <f>+Z7</f>
        <v>835000</v>
      </c>
      <c r="X99" s="75" t="s">
        <v>520</v>
      </c>
      <c r="Z99" s="81">
        <f>+'Balance Sheet'!B33+'Balance Sheet'!B29+'Balance Sheet'!B22</f>
        <v>2980000</v>
      </c>
    </row>
    <row r="100" spans="1:30" ht="16.5" customHeight="1">
      <c r="A100" s="38"/>
      <c r="B100" s="38"/>
      <c r="C100" s="38"/>
      <c r="D100" s="38"/>
      <c r="E100" s="38"/>
      <c r="F100" s="38"/>
      <c r="G100" s="38"/>
      <c r="H100" s="38"/>
      <c r="I100" s="38"/>
      <c r="J100" s="38"/>
      <c r="K100" s="38"/>
      <c r="L100" s="38"/>
      <c r="M100" s="38"/>
      <c r="N100" s="38"/>
      <c r="P100" s="38"/>
      <c r="Q100" s="38"/>
      <c r="R100" s="38"/>
      <c r="S100" s="38"/>
      <c r="U100" s="75" t="s">
        <v>435</v>
      </c>
      <c r="W100" s="81">
        <f>+Z8</f>
        <v>80000</v>
      </c>
      <c r="X100" s="79" t="s">
        <v>31</v>
      </c>
      <c r="Y100" s="79"/>
      <c r="Z100" s="568">
        <f ca="1">SUM(Z94:Z99)</f>
        <v>5996550</v>
      </c>
      <c r="AA100" s="75" t="b">
        <f ca="1">+Z100='Balance Sheet'!B37</f>
        <v>1</v>
      </c>
    </row>
    <row r="101" spans="1:30" ht="25">
      <c r="A101" s="123" t="s">
        <v>46</v>
      </c>
      <c r="B101" s="72"/>
      <c r="C101" s="72"/>
      <c r="D101" s="72"/>
      <c r="E101" s="74"/>
      <c r="F101" s="72"/>
      <c r="G101" s="72"/>
      <c r="H101" s="72"/>
      <c r="I101" s="72"/>
      <c r="J101" s="72"/>
      <c r="K101" s="72"/>
      <c r="L101" s="72"/>
      <c r="M101" s="72"/>
      <c r="N101" s="72"/>
      <c r="O101" s="72"/>
      <c r="P101" s="72"/>
      <c r="Q101" s="72"/>
      <c r="R101" s="72"/>
      <c r="S101" s="38"/>
      <c r="U101" s="79" t="s">
        <v>31</v>
      </c>
      <c r="V101" s="79"/>
      <c r="W101" s="568">
        <f>SUM(W93:W100)</f>
        <v>5996550</v>
      </c>
      <c r="AB101" s="1" t="s">
        <v>614</v>
      </c>
    </row>
    <row r="102" spans="1:30" ht="16.5" customHeight="1">
      <c r="A102" s="130" t="s">
        <v>108</v>
      </c>
      <c r="B102" s="38"/>
      <c r="C102" s="38"/>
      <c r="D102" s="38"/>
      <c r="E102" s="38"/>
      <c r="F102" s="38"/>
      <c r="G102" s="38"/>
      <c r="H102" s="38"/>
      <c r="I102" s="38"/>
      <c r="J102" s="38"/>
      <c r="K102" s="38"/>
      <c r="L102" s="38"/>
      <c r="M102" s="38"/>
      <c r="N102" s="38"/>
      <c r="O102" s="38"/>
      <c r="P102" s="38"/>
      <c r="Q102" s="38"/>
      <c r="R102" s="38"/>
      <c r="S102" s="38"/>
    </row>
    <row r="103" spans="1:30" ht="16.5" customHeight="1">
      <c r="A103" s="130" t="s">
        <v>109</v>
      </c>
      <c r="B103" s="38"/>
      <c r="F103" s="38"/>
      <c r="G103" s="38"/>
      <c r="H103" s="38"/>
      <c r="I103" s="38"/>
      <c r="AB103" s="2" t="str">
        <f>+'Investment Breakdown'!A35</f>
        <v>Cash</v>
      </c>
      <c r="AC103" s="7">
        <f ca="1">SUMIF('Investment Breakdown'!$A$35:$A$44,Charts!AB103,'Investment Breakdown'!$B$35:$B$43)</f>
        <v>186585.93342009356</v>
      </c>
      <c r="AD103" s="7"/>
    </row>
    <row r="104" spans="1:30" ht="16.5" customHeight="1">
      <c r="B104" s="38"/>
      <c r="F104" s="38"/>
      <c r="G104" s="38"/>
      <c r="H104" s="38"/>
      <c r="I104" s="38"/>
      <c r="AB104" s="2" t="str">
        <f>+'Investment Breakdown'!A36</f>
        <v>International</v>
      </c>
      <c r="AC104" s="7">
        <f ca="1">SUMIF('Investment Breakdown'!$A$35:$A$44,Charts!AB104,'Investment Breakdown'!$B$35:$B$43)</f>
        <v>116538.30066575776</v>
      </c>
      <c r="AD104" s="7"/>
    </row>
    <row r="105" spans="1:30" ht="16.5" customHeight="1">
      <c r="C105" s="38"/>
      <c r="D105" s="38"/>
      <c r="E105" s="38"/>
      <c r="F105" s="38"/>
      <c r="AB105" s="2" t="str">
        <f>+'Investment Breakdown'!A37</f>
        <v>US Total Market</v>
      </c>
      <c r="AC105" s="7">
        <f ca="1">SUMIF('Investment Breakdown'!$A$35:$A$44,Charts!AB105,'Investment Breakdown'!$B$35:$B$43)</f>
        <v>379877.58423793013</v>
      </c>
      <c r="AD105" s="7"/>
    </row>
    <row r="106" spans="1:30" ht="16.5" customHeight="1">
      <c r="C106" s="38"/>
      <c r="D106" s="38"/>
      <c r="E106" s="38"/>
      <c r="F106" s="38"/>
      <c r="AB106" s="2" t="str">
        <f>+'Investment Breakdown'!A38</f>
        <v>US Large Cap</v>
      </c>
      <c r="AC106" s="7">
        <f ca="1">SUMIF('Investment Breakdown'!$A$35:$A$44,Charts!AB106,'Investment Breakdown'!$B$35:$B$43)</f>
        <v>435000</v>
      </c>
      <c r="AD106" s="7"/>
    </row>
    <row r="107" spans="1:30" ht="16.5" customHeight="1">
      <c r="A107" s="96" t="s">
        <v>179</v>
      </c>
      <c r="B107" s="96"/>
      <c r="C107" s="96"/>
      <c r="D107" s="96"/>
      <c r="E107" s="96"/>
      <c r="F107" s="96"/>
      <c r="G107" s="96"/>
      <c r="H107" s="96"/>
      <c r="I107" s="96"/>
      <c r="J107" s="96"/>
      <c r="K107" s="96"/>
      <c r="L107" s="96"/>
      <c r="M107" s="96"/>
      <c r="N107" s="96"/>
      <c r="O107" s="96"/>
      <c r="AB107" s="2" t="str">
        <f>+'Investment Breakdown'!A39</f>
        <v>US Small Cap</v>
      </c>
      <c r="AC107" s="7">
        <f ca="1">SUMIF('Investment Breakdown'!$A$35:$A$44,Charts!AB107,'Investment Breakdown'!$B$35:$B$43)</f>
        <v>49317.756246552664</v>
      </c>
      <c r="AD107" s="7"/>
    </row>
    <row r="108" spans="1:30" ht="16.5" customHeight="1">
      <c r="B108" s="38"/>
      <c r="C108" s="38"/>
      <c r="D108" s="38"/>
      <c r="E108" s="38"/>
      <c r="F108" s="38"/>
      <c r="AB108" s="2" t="str">
        <f>+'Investment Breakdown'!A40</f>
        <v>US Dividend / Value</v>
      </c>
      <c r="AC108" s="7">
        <f ca="1">SUMIF('Investment Breakdown'!$A$35:$A$44,Charts!AB108,'Investment Breakdown'!$B$35:$B$43)</f>
        <v>94368.991437834629</v>
      </c>
      <c r="AD108" s="7"/>
    </row>
    <row r="109" spans="1:30" ht="16.5" customHeight="1">
      <c r="B109" s="38"/>
      <c r="C109" s="38"/>
      <c r="D109" s="38"/>
      <c r="E109" s="38"/>
      <c r="F109" s="38"/>
      <c r="AB109" s="2" t="str">
        <f>+'Investment Breakdown'!A41</f>
        <v>Meta</v>
      </c>
      <c r="AC109" s="7">
        <f ca="1">SUMIF('Investment Breakdown'!$A$35:$A$44,Charts!AB109,'Investment Breakdown'!$B$35:$B$43)</f>
        <v>238311.4339918312</v>
      </c>
      <c r="AD109" s="7"/>
    </row>
    <row r="110" spans="1:30" ht="16.5" customHeight="1">
      <c r="AB110" s="2" t="str">
        <f>+'Investment Breakdown'!A42</f>
        <v>Other Single Stock</v>
      </c>
      <c r="AC110" s="7">
        <f ca="1">SUMIF('Investment Breakdown'!$A$35:$A$44,Charts!AB110,'Investment Breakdown'!$B$35:$B$43)</f>
        <v>0</v>
      </c>
      <c r="AD110" s="7"/>
    </row>
    <row r="111" spans="1:30" ht="16.5" customHeight="1">
      <c r="AB111" s="2" t="str">
        <f>+'Investment Breakdown'!A43</f>
        <v>Crypto</v>
      </c>
      <c r="AC111" s="7">
        <f ca="1">SUMIF('Investment Breakdown'!$A$35:$A$44,Charts!AB111,'Investment Breakdown'!$B$35:$B$43)</f>
        <v>9500</v>
      </c>
      <c r="AD111" s="7"/>
    </row>
    <row r="112" spans="1:30" ht="16.5" customHeight="1">
      <c r="F112" s="82"/>
      <c r="AB112" s="1" t="str">
        <f>+'Investment Breakdown'!A44</f>
        <v>Total</v>
      </c>
      <c r="AC112" s="7">
        <f ca="1">SUMIF('Investment Breakdown'!$A$35:$A$44,Charts!AB112,'Investment Breakdown'!$B$35:$B$43)</f>
        <v>1509500</v>
      </c>
    </row>
    <row r="113" spans="1:29" ht="16.5" customHeight="1">
      <c r="F113" s="82"/>
      <c r="AC113" s="75" t="b">
        <f ca="1">+AC112=SUM(AC103:AC111)</f>
        <v>1</v>
      </c>
    </row>
    <row r="114" spans="1:29" ht="16.5" customHeight="1">
      <c r="F114" s="82"/>
      <c r="AB114" s="75" t="s">
        <v>649</v>
      </c>
      <c r="AC114" s="81">
        <f ca="1">+AC105*$AC$158+AC107</f>
        <v>144287.15230603519</v>
      </c>
    </row>
    <row r="115" spans="1:29" ht="16.5" customHeight="1">
      <c r="F115" s="82"/>
    </row>
    <row r="116" spans="1:29" ht="16.5" customHeight="1">
      <c r="F116" s="82"/>
    </row>
    <row r="117" spans="1:29" ht="16.5" customHeight="1">
      <c r="F117" s="82"/>
    </row>
    <row r="118" spans="1:29" ht="16.5" customHeight="1">
      <c r="F118" s="82"/>
    </row>
    <row r="119" spans="1:29" ht="16.5" customHeight="1">
      <c r="F119" s="82"/>
    </row>
    <row r="120" spans="1:29" ht="16.5" customHeight="1">
      <c r="F120" s="82"/>
    </row>
    <row r="121" spans="1:29" ht="16.5" customHeight="1">
      <c r="F121" s="82"/>
    </row>
    <row r="122" spans="1:29" ht="16.5" customHeight="1">
      <c r="A122" s="96" t="s">
        <v>184</v>
      </c>
      <c r="B122" s="96"/>
      <c r="C122" s="96"/>
      <c r="D122" s="96"/>
      <c r="E122" s="96"/>
      <c r="F122" s="96"/>
      <c r="G122" s="96"/>
      <c r="H122" s="96"/>
      <c r="I122" s="96"/>
      <c r="J122" s="96"/>
      <c r="K122" s="96"/>
      <c r="L122" s="96"/>
      <c r="M122" s="96"/>
      <c r="N122" s="96"/>
      <c r="O122" s="96"/>
    </row>
    <row r="123" spans="1:29" ht="16.5" customHeight="1">
      <c r="F123" s="82"/>
      <c r="X123" s="75" t="str">
        <f>+'Investment Breakdown'!A46</f>
        <v>Retirement by Taxable</v>
      </c>
      <c r="AA123" s="79" t="str">
        <f>+'Investment Breakdown'!A51</f>
        <v>Retirement by Category</v>
      </c>
    </row>
    <row r="124" spans="1:29" ht="16.5" customHeight="1">
      <c r="F124" s="82"/>
      <c r="X124" s="209" t="str">
        <f>+'Investment Breakdown'!A47</f>
        <v>Pre-Tax</v>
      </c>
      <c r="Y124" s="7">
        <f>+'Investment Breakdown'!B47</f>
        <v>620000</v>
      </c>
      <c r="AA124" s="209" t="str">
        <f>+'Investment Breakdown'!A52</f>
        <v>International</v>
      </c>
      <c r="AB124" s="7">
        <f>SUMIF('Investment Breakdown'!$A$52:$A$58,Charts!AA124,'Investment Breakdown'!$B$52:$B$58)</f>
        <v>128146.25020852119</v>
      </c>
      <c r="AC124" s="7"/>
    </row>
    <row r="125" spans="1:29" ht="16.5" customHeight="1">
      <c r="F125" s="82"/>
      <c r="X125" s="209" t="str">
        <f>+'Investment Breakdown'!A48</f>
        <v>After- Tax</v>
      </c>
      <c r="Y125" s="7">
        <f>+'Investment Breakdown'!B48</f>
        <v>380000</v>
      </c>
      <c r="AA125" s="209" t="str">
        <f>+'Investment Breakdown'!A53</f>
        <v>US Total Market</v>
      </c>
      <c r="AB125" s="7">
        <f>SUMIF('Investment Breakdown'!$A$52:$A$58,Charts!AA125,'Investment Breakdown'!$B$52:$B$58)</f>
        <v>400000</v>
      </c>
      <c r="AC125" s="7"/>
    </row>
    <row r="126" spans="1:29" ht="16.5" customHeight="1">
      <c r="F126" s="82"/>
      <c r="X126" s="75" t="str">
        <f>+'Investment Breakdown'!A49</f>
        <v>Total</v>
      </c>
      <c r="Y126" s="7">
        <f>+'Investment Breakdown'!B49</f>
        <v>1000000</v>
      </c>
      <c r="AA126" s="209" t="str">
        <f>+'Investment Breakdown'!A54</f>
        <v>US Large Cap</v>
      </c>
      <c r="AB126" s="7">
        <f>SUMIF('Investment Breakdown'!$A$52:$A$58,Charts!AA126,'Investment Breakdown'!$B$52:$B$58)</f>
        <v>100000</v>
      </c>
      <c r="AC126" s="7"/>
    </row>
    <row r="127" spans="1:29" ht="16.5" customHeight="1">
      <c r="F127" s="82"/>
      <c r="Y127" s="75" t="b">
        <f>+Y126=AB131</f>
        <v>1</v>
      </c>
      <c r="AA127" s="209" t="str">
        <f>+'Investment Breakdown'!A55</f>
        <v>US Small Cap</v>
      </c>
      <c r="AB127" s="7">
        <f>SUMIF('Investment Breakdown'!$A$52:$A$58,Charts!AA127,'Investment Breakdown'!$B$52:$B$58)</f>
        <v>274264.47466138931</v>
      </c>
      <c r="AC127" s="7"/>
    </row>
    <row r="128" spans="1:29" ht="16.5" customHeight="1">
      <c r="F128" s="82"/>
      <c r="AA128" s="209" t="str">
        <f>+'Investment Breakdown'!A57</f>
        <v>Other Single Stock</v>
      </c>
      <c r="AB128" s="7">
        <f>SUMIF('Investment Breakdown'!$A$52:$A$58,Charts!AA128,'Investment Breakdown'!$B$52:$B$58)</f>
        <v>0</v>
      </c>
      <c r="AC128" s="7"/>
    </row>
    <row r="129" spans="1:44" ht="16.5" customHeight="1">
      <c r="F129" s="82"/>
      <c r="AA129" s="209" t="str">
        <f>+'Investment Breakdown'!A56</f>
        <v>Bonds</v>
      </c>
      <c r="AB129" s="7">
        <f>SUMIF('Investment Breakdown'!$A$52:$A$58,Charts!AA129,'Investment Breakdown'!$B$52:$B$58)</f>
        <v>61209.775501417389</v>
      </c>
    </row>
    <row r="130" spans="1:44" ht="16.5" customHeight="1">
      <c r="F130" s="82"/>
      <c r="AA130" s="209" t="str">
        <f>+'Investment Breakdown'!A58</f>
        <v>Cash</v>
      </c>
      <c r="AB130" s="7">
        <f>SUMIF('Investment Breakdown'!$A$52:$A$58,Charts!AA130,'Investment Breakdown'!$B$52:$B$58)</f>
        <v>36379.499628672078</v>
      </c>
    </row>
    <row r="131" spans="1:44" ht="17.25" customHeight="1">
      <c r="F131" s="82"/>
      <c r="AA131" s="79" t="str">
        <f>+'Investment Breakdown'!A59</f>
        <v>Total</v>
      </c>
      <c r="AB131" s="7">
        <f>SUMIF('Investment Breakdown'!$A$52:$A$59,Charts!AA131,'Investment Breakdown'!$B$52:$B$59)</f>
        <v>999999.99999999977</v>
      </c>
      <c r="AF131" s="211">
        <f>AF138/AF151</f>
        <v>0.19999999999999998</v>
      </c>
      <c r="AG131" s="211">
        <f ca="1">AG138/AG151</f>
        <v>0.2</v>
      </c>
    </row>
    <row r="132" spans="1:44" ht="16.5" customHeight="1">
      <c r="F132" s="82"/>
      <c r="AB132" s="75" t="b">
        <f>AB131=SUM(AB124:AB130)</f>
        <v>1</v>
      </c>
    </row>
    <row r="133" spans="1:44" ht="16.5" customHeight="1">
      <c r="F133" s="82"/>
    </row>
    <row r="134" spans="1:44" ht="16.5" customHeight="1">
      <c r="F134" s="82"/>
      <c r="AA134" s="75" t="s">
        <v>649</v>
      </c>
      <c r="AB134" s="81">
        <f>+AB125*$AC$158+AB127</f>
        <v>374264.47466138931</v>
      </c>
    </row>
    <row r="135" spans="1:44" ht="16.5" customHeight="1">
      <c r="F135" s="82"/>
      <c r="AF135" s="786" t="s">
        <v>581</v>
      </c>
      <c r="AG135" s="786"/>
      <c r="AH135" s="786"/>
      <c r="AJ135" s="786" t="s">
        <v>616</v>
      </c>
      <c r="AK135" s="786"/>
      <c r="AL135" s="786"/>
      <c r="AN135" s="786" t="s">
        <v>84</v>
      </c>
      <c r="AO135" s="786"/>
      <c r="AQ135" s="786" t="s">
        <v>651</v>
      </c>
      <c r="AR135" s="786"/>
    </row>
    <row r="136" spans="1:44" ht="16.5" customHeight="1">
      <c r="F136" s="82"/>
      <c r="AA136" s="79" t="s">
        <v>609</v>
      </c>
      <c r="AD136" s="79" t="s">
        <v>611</v>
      </c>
      <c r="AF136" s="75" t="s">
        <v>29</v>
      </c>
      <c r="AG136" s="75" t="s">
        <v>614</v>
      </c>
      <c r="AH136" s="785" t="s">
        <v>31</v>
      </c>
      <c r="AJ136" s="75" t="s">
        <v>29</v>
      </c>
      <c r="AK136" s="75" t="s">
        <v>614</v>
      </c>
      <c r="AL136" s="782" t="s">
        <v>31</v>
      </c>
      <c r="AN136" s="75" t="s">
        <v>29</v>
      </c>
      <c r="AO136" s="75" t="s">
        <v>614</v>
      </c>
      <c r="AQ136" s="75" t="s">
        <v>29</v>
      </c>
      <c r="AR136" s="75" t="s">
        <v>614</v>
      </c>
    </row>
    <row r="137" spans="1:44" ht="16.5" customHeight="1">
      <c r="A137" s="96" t="s">
        <v>610</v>
      </c>
      <c r="B137" s="96"/>
      <c r="C137" s="96"/>
      <c r="D137" s="96"/>
      <c r="E137" s="96"/>
      <c r="F137" s="96"/>
      <c r="G137" s="96"/>
      <c r="H137" s="96"/>
      <c r="I137" s="96"/>
      <c r="J137" s="96"/>
      <c r="K137" s="96"/>
      <c r="L137" s="96"/>
      <c r="M137" s="96"/>
      <c r="N137" s="96"/>
      <c r="O137" s="96"/>
      <c r="AA137" s="781" t="s">
        <v>3</v>
      </c>
      <c r="AB137" s="81">
        <f ca="1">SUMIF('Investment Breakdown'!$A$35:$A$58,Charts!AA137,'Investment Breakdown'!$B$35:$B$43)</f>
        <v>222965.43304876564</v>
      </c>
      <c r="AC137" s="211">
        <f ca="1">AB137/$AB$148</f>
        <v>8.8848548734315858E-2</v>
      </c>
      <c r="AD137" s="781" t="s">
        <v>3</v>
      </c>
      <c r="AF137" s="81">
        <f>SUMIF('Model Portfolios'!$R$10:$R$25,Charts!AD137,'Model Portfolios'!$Z$10:$Z$25)</f>
        <v>0</v>
      </c>
      <c r="AG137" s="81">
        <f ca="1">SUMIF('Model Portfolios'!$R$10:$R$25,Charts!AD137,'Model Portfolios'!$Y$10:$Y$25)</f>
        <v>0</v>
      </c>
      <c r="AH137" s="783">
        <f ca="1">+AG137+AF137</f>
        <v>0</v>
      </c>
      <c r="AJ137" s="81">
        <f>SUMIF('Model Portfolios'!$R$10:$R$25,Charts!AD137,'Model Portfolios'!$AB$10:$AB$25)</f>
        <v>0</v>
      </c>
      <c r="AK137" s="81">
        <f ca="1">SUMIF('Model Portfolios'!$R$10:$R$25,Charts!AD137,'Model Portfolios'!$AA$10:$AA$25)</f>
        <v>0</v>
      </c>
      <c r="AL137" s="783">
        <f ca="1">+AJ137+AK137</f>
        <v>0</v>
      </c>
      <c r="AN137" s="81">
        <f>SUMIF($AA$124:$AA$130,AD137,$AB$124:$AB$130)</f>
        <v>36379.499628672078</v>
      </c>
      <c r="AO137" s="81">
        <f ca="1">SUMIF($AB$103:$AB$111,AD137,$AC$103:$AC$111)</f>
        <v>186585.93342009356</v>
      </c>
      <c r="AQ137" s="849">
        <f>+AJ137-AN137</f>
        <v>-36379.499628672078</v>
      </c>
      <c r="AR137" s="849">
        <f t="shared" ref="AR137:AR150" ca="1" si="6">+AK137-AO137</f>
        <v>-186585.93342009356</v>
      </c>
    </row>
    <row r="138" spans="1:44" ht="16.5" customHeight="1">
      <c r="A138" s="75" t="s">
        <v>84</v>
      </c>
      <c r="F138" s="82"/>
      <c r="J138" s="75" t="s">
        <v>611</v>
      </c>
      <c r="AA138" s="781" t="s">
        <v>171</v>
      </c>
      <c r="AB138" s="81">
        <f ca="1">SUMIF('Investment Breakdown'!$A$35:$A$58,Charts!AA138,'Investment Breakdown'!$B$35:$B$43)</f>
        <v>244684.55087427894</v>
      </c>
      <c r="AC138" s="211">
        <f t="shared" ref="AC138:AC147" ca="1" si="7">AB138/$AB$148</f>
        <v>9.7503307780147014E-2</v>
      </c>
      <c r="AD138" s="781" t="s">
        <v>171</v>
      </c>
      <c r="AF138" s="787">
        <f>+SUM(AF154:AF155)</f>
        <v>199999.99999999997</v>
      </c>
      <c r="AG138" s="787">
        <f t="shared" ref="AG138" ca="1" si="8">+SUM(AG154:AG155)</f>
        <v>301900</v>
      </c>
      <c r="AH138" s="788">
        <f t="shared" ref="AH138:AH150" ca="1" si="9">+AG138+AF138</f>
        <v>501900</v>
      </c>
      <c r="AI138" s="789"/>
      <c r="AJ138" s="787">
        <f>+SUM(AJ154:AJ155)</f>
        <v>199999.99999999997</v>
      </c>
      <c r="AK138" s="787">
        <f t="shared" ref="AK138" ca="1" si="10">+SUM(AK154:AK155)</f>
        <v>116538.30066575775</v>
      </c>
      <c r="AL138" s="788">
        <f t="shared" ref="AL138" ca="1" si="11">+AK138+AJ138</f>
        <v>316538.30066575774</v>
      </c>
      <c r="AN138" s="81">
        <f t="shared" ref="AN138:AN150" si="12">SUMIF($AA$124:$AA$130,AD138,$AB$124:$AB$130)</f>
        <v>128146.25020852119</v>
      </c>
      <c r="AO138" s="81">
        <f ca="1">SUMIF($AB$103:$AB$111,AD138,$AC$103:$AC$111)</f>
        <v>116538.30066575776</v>
      </c>
      <c r="AQ138" s="81">
        <f t="shared" ref="AQ138:AQ150" si="13">+AJ138-AN138</f>
        <v>71853.749791478782</v>
      </c>
      <c r="AR138" s="81">
        <f t="shared" ca="1" si="6"/>
        <v>0</v>
      </c>
    </row>
    <row r="139" spans="1:44" ht="16.5" customHeight="1">
      <c r="F139" s="82"/>
      <c r="AA139" s="781" t="s">
        <v>521</v>
      </c>
      <c r="AB139" s="81">
        <f ca="1">SUMIF('Investment Breakdown'!$A$35:$A$58,Charts!AA139,'Investment Breakdown'!$B$35:$B$43)</f>
        <v>779877.58423793013</v>
      </c>
      <c r="AC139" s="211">
        <f t="shared" ca="1" si="7"/>
        <v>0.31077010728747961</v>
      </c>
      <c r="AN139" s="81">
        <f t="shared" si="12"/>
        <v>0</v>
      </c>
      <c r="AO139" s="81"/>
      <c r="AQ139" s="81">
        <f t="shared" si="13"/>
        <v>0</v>
      </c>
      <c r="AR139" s="81">
        <f t="shared" si="6"/>
        <v>0</v>
      </c>
    </row>
    <row r="140" spans="1:44" ht="16.5" customHeight="1">
      <c r="F140" s="82"/>
      <c r="AA140" s="781" t="s">
        <v>398</v>
      </c>
      <c r="AB140" s="81">
        <f ca="1">SUMIF('Investment Breakdown'!$A$35:$A$58,Charts!AA140,'Investment Breakdown'!$B$35:$B$43)</f>
        <v>535000</v>
      </c>
      <c r="AC140" s="211">
        <f t="shared" ca="1" si="7"/>
        <v>0.21318987846184498</v>
      </c>
      <c r="AD140" s="781" t="s">
        <v>521</v>
      </c>
      <c r="AF140" s="81">
        <f>SUMIF('Model Portfolios'!$R$10:$R$25,Charts!AD140,'Model Portfolios'!$Z$10:$Z$25)</f>
        <v>149999.99999999997</v>
      </c>
      <c r="AG140" s="81">
        <f ca="1">SUMIF('Model Portfolios'!$R$10:$R$25,Charts!AD140,'Model Portfolios'!$Y$10:$Y$25)</f>
        <v>75475</v>
      </c>
      <c r="AH140" s="783">
        <f t="shared" ca="1" si="9"/>
        <v>225474.99999999997</v>
      </c>
      <c r="AJ140" s="81">
        <f>SUMIF('Model Portfolios'!$R$10:$R$25,Charts!AD140,'Model Portfolios'!$AB$10:$AB$25)</f>
        <v>149999.99999999997</v>
      </c>
      <c r="AK140" s="81">
        <f ca="1">SUMIF('Model Portfolios'!$R$10:$R$25,Charts!AD140,'Model Portfolios'!$AA$10:$AA$25)</f>
        <v>150950</v>
      </c>
      <c r="AL140" s="783">
        <f t="shared" ref="AL140:AL150" ca="1" si="14">+AJ140+AK140</f>
        <v>300950</v>
      </c>
      <c r="AN140" s="81">
        <f t="shared" si="12"/>
        <v>400000</v>
      </c>
      <c r="AO140" s="81">
        <f t="shared" ref="AO140:AO150" ca="1" si="15">SUMIF($AB$103:$AB$111,AD140,$AC$103:$AC$111)</f>
        <v>379877.58423793013</v>
      </c>
      <c r="AQ140" s="81">
        <f t="shared" si="13"/>
        <v>-250000.00000000003</v>
      </c>
      <c r="AR140" s="81">
        <f t="shared" ca="1" si="6"/>
        <v>-228927.58423793013</v>
      </c>
    </row>
    <row r="141" spans="1:44" ht="16.5" customHeight="1">
      <c r="F141" s="82"/>
      <c r="AA141" s="781" t="s">
        <v>177</v>
      </c>
      <c r="AB141" s="81">
        <f ca="1">SUMIF('Investment Breakdown'!$A$35:$A$58,Charts!AA141,'Investment Breakdown'!$B$35:$B$43)</f>
        <v>323582.23090794199</v>
      </c>
      <c r="AC141" s="211">
        <f t="shared" ca="1" si="7"/>
        <v>0.12894290930780714</v>
      </c>
      <c r="AD141" s="781" t="s">
        <v>398</v>
      </c>
      <c r="AF141" s="81">
        <f>SUMIF('Model Portfolios'!$R$10:$R$25,Charts!AD141,'Model Portfolios'!$Z$10:$Z$25)</f>
        <v>249999.99999999997</v>
      </c>
      <c r="AG141" s="81">
        <f ca="1">SUMIF('Model Portfolios'!$R$10:$R$25,Charts!AD141,'Model Portfolios'!$Y$10:$Y$25)</f>
        <v>226425</v>
      </c>
      <c r="AH141" s="783">
        <f t="shared" ca="1" si="9"/>
        <v>476425</v>
      </c>
      <c r="AJ141" s="81">
        <f>SUMIF('Model Portfolios'!$R$10:$R$25,Charts!AD141,'Model Portfolios'!$AB$10:$AB$25)</f>
        <v>249999.99999999997</v>
      </c>
      <c r="AK141" s="81">
        <f ca="1">SUMIF('Model Portfolios'!$R$10:$R$25,Charts!AD141,'Model Portfolios'!$AA$10:$AA$25)</f>
        <v>377375</v>
      </c>
      <c r="AL141" s="783">
        <f t="shared" ca="1" si="14"/>
        <v>627375</v>
      </c>
      <c r="AN141" s="81">
        <f t="shared" si="12"/>
        <v>100000</v>
      </c>
      <c r="AO141" s="81">
        <f t="shared" ca="1" si="15"/>
        <v>435000</v>
      </c>
      <c r="AQ141" s="81">
        <f t="shared" si="13"/>
        <v>149999.99999999997</v>
      </c>
      <c r="AR141" s="81">
        <f t="shared" ca="1" si="6"/>
        <v>-57625</v>
      </c>
    </row>
    <row r="142" spans="1:44" ht="16.5" customHeight="1">
      <c r="F142" s="82"/>
      <c r="AA142" s="781" t="s">
        <v>178</v>
      </c>
      <c r="AB142" s="81">
        <f ca="1">SUMIF('Investment Breakdown'!$A$35:$A$58,Charts!AA142,'Investment Breakdown'!$B$35:$B$43)</f>
        <v>94368.991437834629</v>
      </c>
      <c r="AC142" s="211">
        <f t="shared" ca="1" si="7"/>
        <v>3.7604698719997859E-2</v>
      </c>
      <c r="AD142" s="781" t="s">
        <v>612</v>
      </c>
      <c r="AF142" s="81">
        <f>SUMIF('Model Portfolios'!$R$10:$R$25,Charts!AD142,'Model Portfolios'!$Z$10:$Z$25)</f>
        <v>149999.99999999997</v>
      </c>
      <c r="AG142" s="81">
        <f ca="1">SUMIF('Model Portfolios'!$R$10:$R$25,Charts!AD142,'Model Portfolios'!$Y$10:$Y$25)</f>
        <v>150950</v>
      </c>
      <c r="AH142" s="783">
        <f t="shared" ca="1" si="9"/>
        <v>300950</v>
      </c>
      <c r="AJ142" s="81">
        <f>SUMIF('Model Portfolios'!$R$10:$R$25,Charts!AD142,'Model Portfolios'!$AB$10:$AB$25)</f>
        <v>149999.99999999997</v>
      </c>
      <c r="AK142" s="81">
        <f ca="1">SUMIF('Model Portfolios'!$R$10:$R$25,Charts!AD142,'Model Portfolios'!$AA$10:$AA$25)</f>
        <v>150950</v>
      </c>
      <c r="AL142" s="783">
        <f t="shared" ca="1" si="14"/>
        <v>300950</v>
      </c>
      <c r="AN142" s="81">
        <f t="shared" si="12"/>
        <v>0</v>
      </c>
      <c r="AO142" s="81">
        <f t="shared" si="15"/>
        <v>0</v>
      </c>
      <c r="AQ142" s="81">
        <f t="shared" si="13"/>
        <v>149999.99999999997</v>
      </c>
      <c r="AR142" s="81">
        <f t="shared" ca="1" si="6"/>
        <v>150950</v>
      </c>
    </row>
    <row r="143" spans="1:44" ht="16.5" customHeight="1">
      <c r="F143" s="82"/>
      <c r="AA143" s="781" t="s">
        <v>133</v>
      </c>
      <c r="AB143" s="81">
        <f ca="1">SUMIF('Investment Breakdown'!$A$35:$A$58,Charts!AA143,'Investment Breakdown'!$B$35:$B$43)</f>
        <v>238311.4339918312</v>
      </c>
      <c r="AC143" s="211">
        <f t="shared" ca="1" si="7"/>
        <v>9.4963711493058864E-2</v>
      </c>
      <c r="AD143" s="781" t="s">
        <v>177</v>
      </c>
      <c r="AF143" s="81">
        <f>SUMIF('Model Portfolios'!$R$10:$R$25,Charts!AD143,'Model Portfolios'!$Z$10:$Z$25)</f>
        <v>100000</v>
      </c>
      <c r="AG143" s="81">
        <f ca="1">SUMIF('Model Portfolios'!$R$10:$R$25,Charts!AD143,'Model Portfolios'!$Y$10:$Y$25)</f>
        <v>150950</v>
      </c>
      <c r="AH143" s="783">
        <f t="shared" ca="1" si="9"/>
        <v>250950</v>
      </c>
      <c r="AJ143" s="81">
        <f>SUMIF('Model Portfolios'!$R$10:$R$25,Charts!AD143,'Model Portfolios'!$AB$10:$AB$25)</f>
        <v>100000</v>
      </c>
      <c r="AK143" s="81">
        <f ca="1">SUMIF('Model Portfolios'!$R$10:$R$25,Charts!AD143,'Model Portfolios'!$AA$10:$AA$25)</f>
        <v>88500.265342411119</v>
      </c>
      <c r="AL143" s="783">
        <f t="shared" ca="1" si="14"/>
        <v>188500.26534241112</v>
      </c>
      <c r="AN143" s="81">
        <f t="shared" si="12"/>
        <v>274264.47466138931</v>
      </c>
      <c r="AO143" s="81">
        <f t="shared" ca="1" si="15"/>
        <v>49317.756246552664</v>
      </c>
      <c r="AQ143" s="81">
        <f t="shared" si="13"/>
        <v>-174264.47466138931</v>
      </c>
      <c r="AR143" s="81">
        <f t="shared" ca="1" si="6"/>
        <v>39182.509095858455</v>
      </c>
    </row>
    <row r="144" spans="1:44" ht="16.5" customHeight="1">
      <c r="F144" s="82"/>
      <c r="AA144" s="781" t="s">
        <v>176</v>
      </c>
      <c r="AB144" s="81">
        <f ca="1">SUMIF('Investment Breakdown'!$A$35:$A$58,Charts!AA144,'Investment Breakdown'!$B$35:$B$43)</f>
        <v>0</v>
      </c>
      <c r="AC144" s="211">
        <f t="shared" ca="1" si="7"/>
        <v>0</v>
      </c>
      <c r="AD144" s="781" t="s">
        <v>178</v>
      </c>
      <c r="AF144" s="81">
        <f>SUMIF('Model Portfolios'!$R$10:$R$25,Charts!AD144,'Model Portfolios'!$Z$10:$Z$25)</f>
        <v>50000</v>
      </c>
      <c r="AG144" s="81">
        <f ca="1">SUMIF('Model Portfolios'!$R$10:$R$25,Charts!AD144,'Model Portfolios'!$Y$10:$Y$25)</f>
        <v>75475</v>
      </c>
      <c r="AH144" s="783">
        <f t="shared" ca="1" si="9"/>
        <v>125475</v>
      </c>
      <c r="AJ144" s="81">
        <f>SUMIF('Model Portfolios'!$R$10:$R$25,Charts!AD144,'Model Portfolios'!$AB$10:$AB$25)</f>
        <v>50000</v>
      </c>
      <c r="AK144" s="81">
        <f ca="1">SUMIF('Model Portfolios'!$R$10:$R$25,Charts!AD144,'Model Portfolios'!$AA$10:$AA$25)</f>
        <v>75475</v>
      </c>
      <c r="AL144" s="783">
        <f t="shared" ca="1" si="14"/>
        <v>125475</v>
      </c>
      <c r="AN144" s="81">
        <f t="shared" si="12"/>
        <v>0</v>
      </c>
      <c r="AO144" s="81">
        <f t="shared" ca="1" si="15"/>
        <v>94368.991437834629</v>
      </c>
      <c r="AQ144" s="81">
        <f t="shared" si="13"/>
        <v>50000</v>
      </c>
      <c r="AR144" s="81">
        <f t="shared" ca="1" si="6"/>
        <v>-18893.991437834629</v>
      </c>
    </row>
    <row r="145" spans="1:44" ht="16.5" customHeight="1">
      <c r="B145" s="38"/>
      <c r="C145" s="227"/>
      <c r="H145" s="38"/>
      <c r="I145" s="38"/>
      <c r="J145" s="38"/>
      <c r="K145" s="38"/>
      <c r="L145" s="38"/>
      <c r="M145" s="38"/>
      <c r="N145" s="38"/>
      <c r="P145" s="38"/>
      <c r="Q145" s="38"/>
      <c r="R145" s="38"/>
      <c r="S145" s="38"/>
      <c r="AA145" s="781" t="s">
        <v>151</v>
      </c>
      <c r="AB145" s="81">
        <f ca="1">SUMIF('Investment Breakdown'!$A$35:$A$58,Charts!AA145,'Investment Breakdown'!$B$35:$B$43)</f>
        <v>9500</v>
      </c>
      <c r="AC145" s="211">
        <f t="shared" ca="1" si="7"/>
        <v>3.7856146642757521E-3</v>
      </c>
      <c r="AD145" s="781"/>
      <c r="AF145" s="81"/>
      <c r="AG145" s="81"/>
      <c r="AH145" s="783"/>
      <c r="AJ145" s="81"/>
      <c r="AK145" s="81"/>
      <c r="AL145" s="783"/>
      <c r="AN145" s="81">
        <f t="shared" si="12"/>
        <v>0</v>
      </c>
      <c r="AO145" s="81">
        <f t="shared" si="15"/>
        <v>0</v>
      </c>
      <c r="AQ145" s="81">
        <f t="shared" si="13"/>
        <v>0</v>
      </c>
      <c r="AR145" s="81">
        <f t="shared" si="6"/>
        <v>0</v>
      </c>
    </row>
    <row r="146" spans="1:44" ht="16.5" customHeight="1">
      <c r="A146" s="130"/>
      <c r="B146" s="38"/>
      <c r="C146" s="38"/>
      <c r="D146" s="38"/>
      <c r="E146" s="38"/>
      <c r="F146" s="38"/>
      <c r="G146" s="38"/>
      <c r="H146" s="38"/>
      <c r="I146" s="38"/>
      <c r="J146" s="38"/>
      <c r="K146" s="38"/>
      <c r="L146" s="38"/>
      <c r="M146" s="38"/>
      <c r="N146" s="38"/>
      <c r="P146" s="38"/>
      <c r="Q146" s="38"/>
      <c r="R146" s="38"/>
      <c r="S146" s="38"/>
      <c r="AA146" s="781" t="s">
        <v>310</v>
      </c>
      <c r="AB146" s="81">
        <f ca="1">SUMIF('Investment Breakdown'!$A$35:$A$58,Charts!AA146,'Investment Breakdown'!$B$35:$B$43)</f>
        <v>61209.775501417389</v>
      </c>
      <c r="AC146" s="211">
        <f t="shared" ca="1" si="7"/>
        <v>2.4391223551072878E-2</v>
      </c>
      <c r="AD146" s="781" t="s">
        <v>176</v>
      </c>
      <c r="AF146" s="81">
        <f>SUMIF('Model Portfolios'!$R$10:$R$25,Charts!AD146,'Model Portfolios'!$Z$10:$Z$25)</f>
        <v>0</v>
      </c>
      <c r="AG146" s="81">
        <f>SUMIF('Model Portfolios'!$R$10:$R$25,Charts!AD146,'Model Portfolios'!$Y$10:$Y$25)</f>
        <v>0</v>
      </c>
      <c r="AH146" s="783">
        <f t="shared" si="9"/>
        <v>0</v>
      </c>
      <c r="AJ146" s="81">
        <f>SUMIF('Model Portfolios'!$R$10:$R$25,Charts!AD146,'Model Portfolios'!$AB$10:$AB$25)</f>
        <v>0</v>
      </c>
      <c r="AK146" s="81">
        <f>SUMIF('Model Portfolios'!$R$10:$R$25,Charts!AD146,'Model Portfolios'!$AA$10:$AA$25)</f>
        <v>0</v>
      </c>
      <c r="AL146" s="783">
        <f t="shared" si="14"/>
        <v>0</v>
      </c>
      <c r="AN146" s="81">
        <f t="shared" si="12"/>
        <v>0</v>
      </c>
      <c r="AO146" s="81">
        <f t="shared" ca="1" si="15"/>
        <v>0</v>
      </c>
      <c r="AQ146" s="81">
        <f t="shared" si="13"/>
        <v>0</v>
      </c>
      <c r="AR146" s="81">
        <f t="shared" ca="1" si="6"/>
        <v>0</v>
      </c>
    </row>
    <row r="147" spans="1:44" ht="14.5">
      <c r="S147" s="38"/>
      <c r="AA147" s="781" t="s">
        <v>313</v>
      </c>
      <c r="AB147" s="81">
        <f ca="1">SUMIF('Investment Breakdown'!$A$35:$A$58,Charts!AA147,'Investment Breakdown'!$B$35:$B$43)</f>
        <v>0</v>
      </c>
      <c r="AC147" s="211">
        <f t="shared" ca="1" si="7"/>
        <v>0</v>
      </c>
      <c r="AD147" s="781" t="s">
        <v>151</v>
      </c>
      <c r="AF147" s="81">
        <f>SUMIF('Model Portfolios'!$R$10:$R$25,Charts!AD147,'Model Portfolios'!$Z$10:$Z$25)</f>
        <v>0</v>
      </c>
      <c r="AG147" s="81">
        <f ca="1">SUMIF('Model Portfolios'!$R$10:$R$25,Charts!AD147,'Model Portfolios'!$Y$10:$Y$25)</f>
        <v>0</v>
      </c>
      <c r="AH147" s="783">
        <f t="shared" ca="1" si="9"/>
        <v>0</v>
      </c>
      <c r="AJ147" s="81">
        <f>SUMIF('Model Portfolios'!$R$10:$R$25,Charts!AD147,'Model Portfolios'!$AB$10:$AB$25)</f>
        <v>0</v>
      </c>
      <c r="AK147" s="81">
        <f ca="1">SUMIF('Model Portfolios'!$R$10:$R$25,Charts!AD147,'Model Portfolios'!$AA$10:$AA$25)</f>
        <v>9500</v>
      </c>
      <c r="AL147" s="783">
        <f t="shared" ca="1" si="14"/>
        <v>9500</v>
      </c>
      <c r="AN147" s="81">
        <f t="shared" si="12"/>
        <v>0</v>
      </c>
      <c r="AO147" s="81">
        <f t="shared" ca="1" si="15"/>
        <v>9500</v>
      </c>
      <c r="AQ147" s="81">
        <f t="shared" si="13"/>
        <v>0</v>
      </c>
      <c r="AR147" s="81">
        <f t="shared" ca="1" si="6"/>
        <v>0</v>
      </c>
    </row>
    <row r="148" spans="1:44" ht="25">
      <c r="A148" s="164"/>
      <c r="B148" s="779"/>
      <c r="C148" s="779"/>
      <c r="D148" s="779"/>
      <c r="E148" s="780"/>
      <c r="F148" s="779"/>
      <c r="G148" s="779"/>
      <c r="H148" s="779"/>
      <c r="I148" s="779"/>
      <c r="J148" s="779"/>
      <c r="K148" s="779"/>
      <c r="L148" s="779"/>
      <c r="M148" s="779"/>
      <c r="N148" s="779"/>
      <c r="O148" s="779"/>
      <c r="P148" s="779"/>
      <c r="Q148" s="779"/>
      <c r="R148" s="779"/>
      <c r="S148" s="38"/>
      <c r="AA148" s="79" t="s">
        <v>31</v>
      </c>
      <c r="AB148" s="568">
        <f ca="1">SUM(AB137:AB147)</f>
        <v>2509500</v>
      </c>
      <c r="AD148" s="781" t="s">
        <v>310</v>
      </c>
      <c r="AF148" s="81">
        <f>SUMIF('Model Portfolios'!$R$10:$R$25,Charts!AD148,'Model Portfolios'!$Z$10:$Z$25)</f>
        <v>0</v>
      </c>
      <c r="AG148" s="81">
        <f ca="1">SUMIF('Model Portfolios'!$R$10:$R$25,Charts!AD148,'Model Portfolios'!$Y$10:$Y$25)</f>
        <v>452850</v>
      </c>
      <c r="AH148" s="783">
        <f t="shared" ca="1" si="9"/>
        <v>452850</v>
      </c>
      <c r="AI148" s="81">
        <f ca="1">+AH148-AB146</f>
        <v>391640.2244985826</v>
      </c>
      <c r="AJ148" s="81">
        <f>SUMIF('Model Portfolios'!$R$10:$R$25,Charts!AD148,'Model Portfolios'!$AB$10:$AB$25)</f>
        <v>0</v>
      </c>
      <c r="AK148" s="81">
        <f ca="1">SUMIF('Model Portfolios'!$R$10:$R$25,Charts!AD148,'Model Portfolios'!$AA$10:$AA$25)</f>
        <v>301900</v>
      </c>
      <c r="AL148" s="783">
        <f t="shared" ca="1" si="14"/>
        <v>301900</v>
      </c>
      <c r="AN148" s="81">
        <f t="shared" si="12"/>
        <v>61209.775501417389</v>
      </c>
      <c r="AO148" s="81">
        <f t="shared" si="15"/>
        <v>0</v>
      </c>
      <c r="AQ148" s="81">
        <f t="shared" si="13"/>
        <v>-61209.775501417389</v>
      </c>
      <c r="AR148" s="849">
        <f t="shared" ca="1" si="6"/>
        <v>301900</v>
      </c>
    </row>
    <row r="149" spans="1:44" ht="25">
      <c r="A149" s="164"/>
      <c r="B149" s="779"/>
      <c r="C149" s="779"/>
      <c r="D149" s="779"/>
      <c r="E149" s="780"/>
      <c r="F149" s="779"/>
      <c r="G149" s="779"/>
      <c r="H149" s="779"/>
      <c r="I149" s="779"/>
      <c r="J149" s="779"/>
      <c r="K149" s="779"/>
      <c r="L149" s="779"/>
      <c r="M149" s="779"/>
      <c r="N149" s="779"/>
      <c r="O149" s="779"/>
      <c r="P149" s="779"/>
      <c r="Q149" s="779"/>
      <c r="R149" s="779"/>
      <c r="S149" s="38"/>
      <c r="AA149" s="79"/>
      <c r="AB149" s="568"/>
      <c r="AD149" s="781" t="s">
        <v>313</v>
      </c>
      <c r="AF149" s="81">
        <f>SUMIF('Model Portfolios'!$R$10:$R$25,Charts!AD149,'Model Portfolios'!$Z$10:$Z$25)</f>
        <v>100000</v>
      </c>
      <c r="AG149" s="81">
        <f ca="1">SUMIF('Model Portfolios'!$R$10:$R$25,Charts!AD149,'Model Portfolios'!$Y$10:$Y$25)</f>
        <v>75475</v>
      </c>
      <c r="AH149" s="783">
        <f t="shared" ca="1" si="9"/>
        <v>175475</v>
      </c>
      <c r="AJ149" s="81">
        <f>SUMIF('Model Portfolios'!$R$10:$R$25,Charts!AD149,'Model Portfolios'!$AB$10:$AB$25)</f>
        <v>100000</v>
      </c>
      <c r="AK149" s="81">
        <f ca="1">SUMIF('Model Portfolios'!$R$10:$R$25,Charts!AD149,'Model Portfolios'!$AA$10:$AA$25)</f>
        <v>0</v>
      </c>
      <c r="AL149" s="783">
        <f t="shared" ca="1" si="14"/>
        <v>100000</v>
      </c>
      <c r="AN149" s="81">
        <f t="shared" si="12"/>
        <v>0</v>
      </c>
      <c r="AO149" s="81">
        <f t="shared" si="15"/>
        <v>0</v>
      </c>
      <c r="AQ149" s="81">
        <f t="shared" si="13"/>
        <v>100000</v>
      </c>
      <c r="AR149" s="81">
        <f t="shared" ca="1" si="6"/>
        <v>0</v>
      </c>
    </row>
    <row r="150" spans="1:44" ht="25">
      <c r="A150" s="164"/>
      <c r="B150" s="779"/>
      <c r="C150" s="779"/>
      <c r="D150" s="779"/>
      <c r="E150" s="780"/>
      <c r="F150" s="779"/>
      <c r="G150" s="779"/>
      <c r="H150" s="779"/>
      <c r="I150" s="779"/>
      <c r="J150" s="779"/>
      <c r="K150" s="779"/>
      <c r="L150" s="779"/>
      <c r="M150" s="779"/>
      <c r="N150" s="779"/>
      <c r="O150" s="779"/>
      <c r="P150" s="779"/>
      <c r="Q150" s="779"/>
      <c r="R150" s="779"/>
      <c r="S150" s="38"/>
      <c r="AA150" s="79"/>
      <c r="AB150" s="568"/>
      <c r="AC150" s="790" t="s">
        <v>615</v>
      </c>
      <c r="AD150" s="847" t="s">
        <v>133</v>
      </c>
      <c r="AE150" s="786"/>
      <c r="AF150" s="848">
        <f>SUMIF('Model Portfolios'!$R$10:$R$25,Charts!AC150,'Model Portfolios'!$Z$10:$Z$25)</f>
        <v>0</v>
      </c>
      <c r="AG150" s="848">
        <f ca="1">SUMIF('Model Portfolios'!$R$10:$R$25,Charts!AC150,'Model Portfolios'!$Y$10:$Y$25)</f>
        <v>0</v>
      </c>
      <c r="AH150" s="784">
        <f t="shared" ca="1" si="9"/>
        <v>0</v>
      </c>
      <c r="AI150" s="786"/>
      <c r="AJ150" s="848">
        <f>SUMIF('Model Portfolios'!$R$10:$R$25,Charts!AC150,'Model Portfolios'!$AB$10:$AB$25)</f>
        <v>0</v>
      </c>
      <c r="AK150" s="848">
        <f ca="1">SUMIF('Model Portfolios'!$R$10:$R$25,Charts!AC150,'Model Portfolios'!$AA$10:$AA$25)</f>
        <v>238311.4339918312</v>
      </c>
      <c r="AL150" s="784">
        <f t="shared" ca="1" si="14"/>
        <v>238311.4339918312</v>
      </c>
      <c r="AM150" s="786"/>
      <c r="AN150" s="848">
        <f t="shared" si="12"/>
        <v>0</v>
      </c>
      <c r="AO150" s="848">
        <f t="shared" ca="1" si="15"/>
        <v>238311.4339918312</v>
      </c>
      <c r="AQ150" s="848">
        <f t="shared" si="13"/>
        <v>0</v>
      </c>
      <c r="AR150" s="848">
        <f t="shared" ca="1" si="6"/>
        <v>0</v>
      </c>
    </row>
    <row r="151" spans="1:44" ht="14.5">
      <c r="R151" s="72"/>
      <c r="S151" s="38"/>
      <c r="AA151" s="79"/>
      <c r="AB151" s="568"/>
      <c r="AD151" s="75" t="s">
        <v>31</v>
      </c>
      <c r="AF151" s="81">
        <f>SUM(AF137:AF150)</f>
        <v>999999.99999999988</v>
      </c>
      <c r="AG151" s="81">
        <f ca="1">SUM(AG137:AG150)</f>
        <v>1509500</v>
      </c>
      <c r="AH151" s="784">
        <f ca="1">SUM(AH137:AH150)</f>
        <v>2509500</v>
      </c>
      <c r="AJ151" s="81">
        <f>SUM(AJ137:AJ150)</f>
        <v>999999.99999999988</v>
      </c>
      <c r="AK151" s="81">
        <f ca="1">SUM(AK137:AK150)</f>
        <v>1509500</v>
      </c>
      <c r="AL151" s="784">
        <f ca="1">SUM(AL137:AL150)</f>
        <v>2509500</v>
      </c>
      <c r="AN151" s="81">
        <f>SUM(AN137:AN150)</f>
        <v>999999.99999999988</v>
      </c>
      <c r="AO151" s="81">
        <f ca="1">SUM(AO137:AO150)</f>
        <v>1509500</v>
      </c>
      <c r="AQ151" s="81">
        <f t="shared" ref="AQ151:AR151" si="16">SUM(AQ137:AQ150)</f>
        <v>-7.2759576141834259E-11</v>
      </c>
      <c r="AR151" s="81">
        <f t="shared" ca="1" si="16"/>
        <v>1.1641532182693481E-10</v>
      </c>
    </row>
    <row r="152" spans="1:44" ht="16.5" customHeight="1">
      <c r="AD152"/>
    </row>
    <row r="153" spans="1:44" ht="16.5" customHeight="1">
      <c r="A153" s="123" t="s">
        <v>47</v>
      </c>
      <c r="B153" s="72"/>
      <c r="C153" s="72"/>
      <c r="D153" s="72"/>
      <c r="E153" s="74"/>
      <c r="F153" s="72"/>
      <c r="G153" s="72"/>
      <c r="H153" s="72"/>
      <c r="I153" s="72"/>
      <c r="J153" s="72"/>
      <c r="K153" s="72"/>
      <c r="L153" s="72"/>
      <c r="M153" s="72"/>
      <c r="N153" s="72"/>
      <c r="O153" s="72"/>
      <c r="P153" s="72"/>
      <c r="Q153" s="72"/>
      <c r="AD153"/>
    </row>
    <row r="154" spans="1:44" ht="16.5" customHeight="1">
      <c r="A154" s="79" t="s">
        <v>153</v>
      </c>
      <c r="I154"/>
      <c r="J154"/>
      <c r="K154"/>
      <c r="L154"/>
      <c r="M154"/>
      <c r="N154"/>
      <c r="O154"/>
      <c r="P154"/>
      <c r="Q154"/>
      <c r="AD154" s="781" t="s">
        <v>613</v>
      </c>
      <c r="AF154" s="81">
        <f>SUMIF('Model Portfolios'!$R$10:$R$25,Charts!AD154,'Model Portfolios'!$Z$10:$Z$25)</f>
        <v>149999.99999999997</v>
      </c>
      <c r="AG154" s="81">
        <f ca="1">SUMIF('Model Portfolios'!$R$10:$R$25,Charts!AD154,'Model Portfolios'!$Y$10:$Y$25)</f>
        <v>226425</v>
      </c>
      <c r="AH154" s="783">
        <f ca="1">+AG154+AF154</f>
        <v>376425</v>
      </c>
      <c r="AJ154" s="81">
        <f>SUMIF('Model Portfolios'!$R$10:$R$25,Charts!AD154,'Model Portfolios'!$AB$10:$AB$25)</f>
        <v>149999.99999999997</v>
      </c>
      <c r="AK154" s="81">
        <f ca="1">SUMIF('Model Portfolios'!$R$10:$R$25,Charts!AD154,'Model Portfolios'!$AA$10:$AA$25)</f>
        <v>116538.30066575775</v>
      </c>
      <c r="AL154" s="783">
        <f ca="1">+AJ154+AK154</f>
        <v>266538.30066575774</v>
      </c>
    </row>
    <row r="155" spans="1:44" ht="16.5" customHeight="1">
      <c r="A155" s="75" t="s">
        <v>100</v>
      </c>
      <c r="I155"/>
      <c r="J155"/>
      <c r="K155"/>
      <c r="L155"/>
      <c r="M155"/>
      <c r="N155"/>
      <c r="O155"/>
      <c r="P155"/>
      <c r="Q155"/>
      <c r="AD155" s="781" t="s">
        <v>324</v>
      </c>
      <c r="AF155" s="81">
        <f>SUMIF('Model Portfolios'!$R$10:$R$25,Charts!AD155,'Model Portfolios'!$Z$10:$Z$25)</f>
        <v>50000</v>
      </c>
      <c r="AG155" s="81">
        <f ca="1">SUMIF('Model Portfolios'!$R$10:$R$25,Charts!AD155,'Model Portfolios'!$Y$10:$Y$25)</f>
        <v>75475</v>
      </c>
      <c r="AH155" s="783">
        <f ca="1">+AG155+AF155</f>
        <v>125475</v>
      </c>
      <c r="AJ155" s="81">
        <f>SUMIF('Model Portfolios'!$R$10:$R$25,Charts!AD155,'Model Portfolios'!$AB$10:$AB$25)</f>
        <v>50000</v>
      </c>
      <c r="AK155" s="81">
        <f ca="1">SUMIF('Model Portfolios'!$R$10:$R$25,Charts!AD155,'Model Portfolios'!$AA$10:$AA$25)</f>
        <v>0</v>
      </c>
      <c r="AL155" s="783">
        <f ca="1">+AJ155+AK155</f>
        <v>50000</v>
      </c>
    </row>
    <row r="156" spans="1:44" ht="16.5" customHeight="1">
      <c r="C156"/>
      <c r="D156"/>
      <c r="E156"/>
      <c r="F156"/>
      <c r="G156"/>
      <c r="H156"/>
      <c r="I156"/>
      <c r="J156"/>
      <c r="K156"/>
      <c r="L156"/>
      <c r="M156"/>
      <c r="N156"/>
      <c r="O156"/>
      <c r="P156"/>
      <c r="Q156"/>
    </row>
    <row r="157" spans="1:44" ht="16.5" customHeight="1">
      <c r="C157"/>
      <c r="D157"/>
      <c r="E157"/>
      <c r="F157"/>
      <c r="G157"/>
      <c r="H157"/>
      <c r="I157"/>
      <c r="J157"/>
      <c r="K157"/>
      <c r="L157"/>
      <c r="M157"/>
      <c r="N157"/>
      <c r="O157"/>
      <c r="P157"/>
      <c r="Q157"/>
    </row>
    <row r="158" spans="1:44" ht="16.5" customHeight="1">
      <c r="C158"/>
      <c r="D158"/>
      <c r="E158"/>
      <c r="F158"/>
      <c r="G158"/>
      <c r="H158"/>
      <c r="I158"/>
      <c r="J158"/>
      <c r="K158"/>
      <c r="L158"/>
      <c r="M158"/>
      <c r="N158"/>
      <c r="O158"/>
      <c r="P158"/>
      <c r="Q158"/>
      <c r="AA158" s="75" t="s">
        <v>649</v>
      </c>
      <c r="AB158" s="81">
        <f ca="1">+AB139*$AC$158+AB141</f>
        <v>518551.62696742453</v>
      </c>
      <c r="AC158" s="846">
        <v>0.25</v>
      </c>
      <c r="AD158" s="75" t="s">
        <v>649</v>
      </c>
      <c r="AF158" s="81">
        <f>+AF140*$AC$158+AF143</f>
        <v>137500</v>
      </c>
      <c r="AG158" s="81">
        <f t="shared" ref="AG158:AL158" ca="1" si="17">+AG140*$AC$158+AG143</f>
        <v>169818.75</v>
      </c>
      <c r="AH158" s="81">
        <f t="shared" ca="1" si="17"/>
        <v>307318.75</v>
      </c>
      <c r="AJ158" s="81">
        <f t="shared" si="17"/>
        <v>137500</v>
      </c>
      <c r="AK158" s="81">
        <f t="shared" ca="1" si="17"/>
        <v>126237.76534241112</v>
      </c>
      <c r="AL158" s="81">
        <f t="shared" ca="1" si="17"/>
        <v>263737.76534241112</v>
      </c>
      <c r="AN158" s="81">
        <f>SUMIF($AA$124:$AA$134,AD158,$AB$124:$AB$134)</f>
        <v>374264.47466138931</v>
      </c>
      <c r="AO158" s="81">
        <f ca="1">SUMIF($AB$103:$AB$114,AD158,$AC$103:$AC$114)</f>
        <v>144287.15230603519</v>
      </c>
      <c r="AQ158" s="849">
        <f t="shared" ref="AQ158:AR158" si="18">+AF158-AN158</f>
        <v>-236764.47466138931</v>
      </c>
      <c r="AR158" s="81">
        <f t="shared" ca="1" si="18"/>
        <v>25531.59769396481</v>
      </c>
    </row>
    <row r="159" spans="1:44" ht="16.5" customHeight="1">
      <c r="C159"/>
      <c r="D159"/>
      <c r="E159"/>
      <c r="F159"/>
      <c r="G159"/>
      <c r="H159"/>
      <c r="I159"/>
      <c r="J159"/>
      <c r="K159"/>
      <c r="L159"/>
      <c r="M159"/>
      <c r="N159"/>
      <c r="O159"/>
      <c r="P159"/>
      <c r="Q159"/>
      <c r="AA159" s="75" t="s">
        <v>314</v>
      </c>
      <c r="AB159" s="81">
        <f ca="1">+SUM(AB139:AB142)</f>
        <v>1732828.8065837068</v>
      </c>
      <c r="AD159" s="75" t="s">
        <v>314</v>
      </c>
      <c r="AF159" s="81">
        <f>+SUM(AF140:AF144)</f>
        <v>699999.99999999988</v>
      </c>
      <c r="AG159" s="81">
        <f ca="1">+SUM(AG140:AG144)</f>
        <v>679275</v>
      </c>
      <c r="AH159" s="81"/>
      <c r="AJ159" s="81">
        <f t="shared" ref="AJ159:AK159" si="19">+SUM(AJ140:AJ144)</f>
        <v>699999.99999999988</v>
      </c>
      <c r="AK159" s="81">
        <f t="shared" ca="1" si="19"/>
        <v>843250.26534241112</v>
      </c>
      <c r="AN159" s="81">
        <f>+SUM(AN140:AN144)</f>
        <v>774264.47466138937</v>
      </c>
      <c r="AO159" s="81">
        <f t="shared" ref="AO159" ca="1" si="20">+SUM(AO140:AO144)</f>
        <v>958564.33192231739</v>
      </c>
      <c r="AQ159" s="81">
        <f t="shared" ref="AQ159" si="21">+AJ159-AN159</f>
        <v>-74264.474661389482</v>
      </c>
      <c r="AR159" s="849">
        <f t="shared" ref="AR159" ca="1" si="22">+AK159-AO159</f>
        <v>-115314.06657990627</v>
      </c>
    </row>
    <row r="160" spans="1:44" ht="16.5" customHeight="1">
      <c r="A160" s="38"/>
      <c r="B160" s="38"/>
      <c r="C160" s="38"/>
      <c r="D160" s="38"/>
      <c r="E160" s="38"/>
      <c r="F160" s="38"/>
      <c r="G160" s="38"/>
      <c r="H160" s="38"/>
      <c r="I160" s="38"/>
      <c r="J160" s="38"/>
    </row>
    <row r="161" spans="1:30" ht="16.5" customHeight="1">
      <c r="A161" s="38"/>
      <c r="B161" s="38"/>
      <c r="C161" s="38"/>
      <c r="D161" s="38"/>
      <c r="E161" s="38"/>
      <c r="F161" s="38"/>
      <c r="G161" s="38"/>
      <c r="H161" s="38"/>
      <c r="I161" s="38"/>
      <c r="J161" s="38"/>
      <c r="O161" s="75" t="s">
        <v>173</v>
      </c>
      <c r="AD161" s="75" t="s">
        <v>650</v>
      </c>
    </row>
    <row r="162" spans="1:30" ht="16.5" customHeight="1">
      <c r="O162" s="75" t="s">
        <v>172</v>
      </c>
    </row>
    <row r="163" spans="1:30" ht="16.5" customHeight="1">
      <c r="A163" s="96" t="s">
        <v>188</v>
      </c>
      <c r="B163" s="96"/>
      <c r="C163" s="96"/>
      <c r="J163" s="210">
        <v>45736</v>
      </c>
      <c r="O163" s="75" t="s">
        <v>174</v>
      </c>
    </row>
    <row r="164" spans="1:30" ht="16.5" customHeight="1">
      <c r="O164" s="75" t="s">
        <v>133</v>
      </c>
    </row>
    <row r="165" spans="1:30" ht="16.5" customHeight="1">
      <c r="A165" s="217"/>
      <c r="B165" s="217"/>
      <c r="C165" s="217"/>
      <c r="D165" s="218"/>
      <c r="E165" s="218" t="s">
        <v>191</v>
      </c>
      <c r="F165" s="218"/>
      <c r="G165" s="218"/>
      <c r="K165" s="212">
        <v>45371</v>
      </c>
      <c r="L165" s="212">
        <v>43910</v>
      </c>
      <c r="M165" s="212">
        <v>42083</v>
      </c>
      <c r="N165" s="212">
        <v>39881</v>
      </c>
      <c r="O165" s="75" t="s">
        <v>120</v>
      </c>
    </row>
    <row r="166" spans="1:30" ht="16.5" customHeight="1">
      <c r="A166" s="217"/>
      <c r="B166" s="217"/>
      <c r="C166" s="217"/>
      <c r="D166" s="218" t="s">
        <v>190</v>
      </c>
      <c r="E166" s="218" t="s">
        <v>192</v>
      </c>
      <c r="F166" s="218" t="s">
        <v>193</v>
      </c>
      <c r="G166" s="218" t="s">
        <v>203</v>
      </c>
      <c r="J166" s="75" t="s">
        <v>12</v>
      </c>
      <c r="K166" s="75" t="s">
        <v>192</v>
      </c>
      <c r="L166" s="75" t="s">
        <v>193</v>
      </c>
      <c r="M166" s="75" t="s">
        <v>194</v>
      </c>
      <c r="N166" s="75" t="s">
        <v>195</v>
      </c>
    </row>
    <row r="167" spans="1:30" ht="16.5" customHeight="1">
      <c r="A167" t="s">
        <v>189</v>
      </c>
      <c r="E167" s="214">
        <v>0.1807</v>
      </c>
      <c r="F167" s="214">
        <v>0.1653</v>
      </c>
      <c r="G167" s="214">
        <v>0.1268</v>
      </c>
      <c r="H167" s="214"/>
      <c r="J167" s="213" t="s">
        <v>199</v>
      </c>
      <c r="K167" s="81"/>
      <c r="L167" s="81"/>
      <c r="M167" s="81"/>
      <c r="N167" s="81"/>
    </row>
    <row r="168" spans="1:30" ht="16.5" customHeight="1">
      <c r="A168" s="75" t="s">
        <v>196</v>
      </c>
      <c r="E168" s="214"/>
      <c r="F168" s="214"/>
      <c r="G168" s="214"/>
      <c r="H168" s="214"/>
      <c r="I168" s="206"/>
      <c r="J168" s="211"/>
      <c r="K168" s="214">
        <v>0.14399999999999999</v>
      </c>
      <c r="L168" s="214">
        <v>0.13800000000000001</v>
      </c>
      <c r="M168" s="214">
        <v>0.11700000000000001</v>
      </c>
      <c r="N168" s="214">
        <v>9.9000000000000005E-2</v>
      </c>
    </row>
    <row r="169" spans="1:30" ht="16.5" customHeight="1">
      <c r="A169" s="75" t="s">
        <v>197</v>
      </c>
      <c r="E169" s="214"/>
      <c r="F169" s="214"/>
      <c r="G169" s="214"/>
      <c r="H169" s="214"/>
      <c r="I169" s="206"/>
      <c r="K169" s="214">
        <v>0.109</v>
      </c>
      <c r="L169" s="214">
        <v>0.106</v>
      </c>
      <c r="M169" s="214">
        <v>8.1000000000000003E-2</v>
      </c>
      <c r="N169" s="214">
        <v>9.0999999999999998E-2</v>
      </c>
    </row>
    <row r="170" spans="1:30" ht="16.5" customHeight="1">
      <c r="A170" s="75" t="s">
        <v>198</v>
      </c>
      <c r="E170" s="214"/>
      <c r="F170" s="214"/>
      <c r="G170" s="214"/>
      <c r="H170" s="214"/>
      <c r="K170" s="214">
        <v>0.154</v>
      </c>
      <c r="L170" s="214">
        <v>0.13300000000000001</v>
      </c>
      <c r="M170" s="214">
        <v>9.6000000000000002E-2</v>
      </c>
      <c r="N170" s="214">
        <v>8.3000000000000004E-2</v>
      </c>
    </row>
    <row r="171" spans="1:30" ht="16.5" customHeight="1">
      <c r="A171" t="s">
        <v>129</v>
      </c>
      <c r="D171" s="83">
        <v>1E-4</v>
      </c>
      <c r="E171" s="215">
        <v>0.17499999999999999</v>
      </c>
      <c r="F171" s="215">
        <v>0.1605</v>
      </c>
      <c r="G171" s="215">
        <v>0.123</v>
      </c>
      <c r="I171" s="214" t="s">
        <v>200</v>
      </c>
    </row>
    <row r="172" spans="1:30" ht="16.5" customHeight="1">
      <c r="A172" t="s">
        <v>130</v>
      </c>
      <c r="D172" s="83">
        <v>1E-4</v>
      </c>
      <c r="E172" s="216">
        <v>0.1024</v>
      </c>
      <c r="F172" s="216">
        <v>7.8100000000000003E-2</v>
      </c>
      <c r="G172" s="214" t="s">
        <v>204</v>
      </c>
      <c r="I172" s="214" t="s">
        <v>201</v>
      </c>
    </row>
    <row r="173" spans="1:30" ht="16.5" customHeight="1">
      <c r="A173" t="s">
        <v>131</v>
      </c>
      <c r="D173" s="83">
        <v>5.0000000000000001E-4</v>
      </c>
      <c r="E173" s="216">
        <v>7.6499999999999999E-2</v>
      </c>
      <c r="F173" s="216">
        <v>0.1031</v>
      </c>
      <c r="G173" s="214" t="s">
        <v>204</v>
      </c>
      <c r="I173" s="214" t="s">
        <v>202</v>
      </c>
    </row>
    <row r="174" spans="1:30" ht="16.5" customHeight="1">
      <c r="A174" t="s">
        <v>132</v>
      </c>
      <c r="D174" s="83">
        <v>7.0000000000000001E-3</v>
      </c>
      <c r="E174" s="215">
        <v>0.16120000000000001</v>
      </c>
      <c r="F174" s="215">
        <v>0.1232</v>
      </c>
      <c r="G174" s="216">
        <v>9.6100000000000005E-2</v>
      </c>
      <c r="H174" s="214"/>
      <c r="I174" s="83"/>
    </row>
  </sheetData>
  <mergeCells count="4">
    <mergeCell ref="O82:P82"/>
    <mergeCell ref="O83:R83"/>
    <mergeCell ref="O81:S81"/>
    <mergeCell ref="F75:G75"/>
  </mergeCells>
  <conditionalFormatting sqref="E47:P47">
    <cfRule type="top10" dxfId="15" priority="3" bottom="1" rank="1"/>
  </conditionalFormatting>
  <conditionalFormatting sqref="AG13 Z14">
    <cfRule type="cellIs" dxfId="14" priority="1" operator="equal">
      <formula>"FALE"</formula>
    </cfRule>
    <cfRule type="cellIs" dxfId="13" priority="2" operator="equal">
      <formula>TRUE</formula>
    </cfRule>
  </conditionalFormatting>
  <hyperlinks>
    <hyperlink ref="J167" r:id="rId1" xr:uid="{C6EC3538-2DF4-4227-9D1B-218EFE43AC72}"/>
  </hyperlinks>
  <pageMargins left="0.1" right="0.1" top="0.1" bottom="0.1" header="0.3" footer="0.3"/>
  <pageSetup scale="63" fitToHeight="0" orientation="landscape" r:id="rId2"/>
  <rowBreaks count="1" manualBreakCount="1">
    <brk id="70" max="19" man="1"/>
  </rowBreaks>
  <colBreaks count="1" manualBreakCount="1">
    <brk id="20" max="119" man="1"/>
  </colBreak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7019-D904-4AC0-AE38-D2FEB5F97BCE}">
  <sheetPr>
    <tabColor theme="9" tint="-0.249977111117893"/>
    <pageSetUpPr fitToPage="1"/>
  </sheetPr>
  <dimension ref="A1:U37"/>
  <sheetViews>
    <sheetView view="pageBreakPreview" zoomScale="60" zoomScaleNormal="100" workbookViewId="0">
      <selection activeCell="W44" sqref="W44"/>
    </sheetView>
  </sheetViews>
  <sheetFormatPr defaultRowHeight="14.5"/>
  <cols>
    <col min="20" max="20" width="10.7265625" customWidth="1"/>
  </cols>
  <sheetData>
    <row r="1" spans="1:21">
      <c r="A1" s="32"/>
      <c r="B1" s="32"/>
      <c r="C1" s="32"/>
      <c r="D1" s="32"/>
      <c r="E1" s="32"/>
      <c r="F1" s="32"/>
      <c r="G1" s="32"/>
      <c r="H1" s="32"/>
      <c r="I1" s="32"/>
      <c r="J1" s="32"/>
      <c r="K1" s="32"/>
      <c r="L1" s="32"/>
      <c r="M1" s="32"/>
      <c r="N1" s="32"/>
      <c r="O1" s="32"/>
      <c r="P1" s="32"/>
      <c r="Q1" s="32"/>
      <c r="R1" s="32"/>
      <c r="S1" s="32"/>
      <c r="T1" s="32"/>
      <c r="U1" s="32"/>
    </row>
    <row r="2" spans="1:21">
      <c r="A2" s="32"/>
      <c r="B2" s="32"/>
      <c r="C2" s="32"/>
      <c r="D2" s="32"/>
      <c r="E2" s="32"/>
      <c r="F2" s="32"/>
      <c r="G2" s="32"/>
      <c r="H2" s="32"/>
      <c r="I2" s="32"/>
      <c r="J2" s="32"/>
      <c r="K2" s="32"/>
      <c r="L2" s="32"/>
      <c r="M2" s="32"/>
      <c r="N2" s="32"/>
      <c r="O2" s="32"/>
      <c r="P2" s="32"/>
      <c r="Q2" s="32"/>
      <c r="R2" s="32"/>
      <c r="S2" s="32"/>
      <c r="T2" s="32"/>
      <c r="U2" s="32"/>
    </row>
    <row r="3" spans="1:21">
      <c r="A3" s="32"/>
      <c r="B3" s="32"/>
      <c r="C3" s="32"/>
      <c r="D3" s="32"/>
      <c r="E3" s="32"/>
      <c r="F3" s="32"/>
      <c r="G3" s="32"/>
      <c r="H3" s="32"/>
      <c r="I3" s="32"/>
      <c r="J3" s="32"/>
      <c r="K3" s="32"/>
      <c r="L3" s="32"/>
      <c r="M3" s="32"/>
      <c r="N3" s="32"/>
      <c r="O3" s="32"/>
      <c r="P3" s="32"/>
      <c r="Q3" s="32"/>
      <c r="R3" s="32"/>
      <c r="S3" s="32"/>
      <c r="T3" s="32"/>
      <c r="U3" s="32"/>
    </row>
    <row r="4" spans="1:21">
      <c r="A4" s="32"/>
      <c r="B4" s="32"/>
      <c r="C4" s="32"/>
      <c r="D4" s="32"/>
      <c r="E4" s="32"/>
      <c r="F4" s="32"/>
      <c r="G4" s="32"/>
      <c r="H4" s="32"/>
      <c r="I4" s="32"/>
      <c r="J4" s="32"/>
      <c r="K4" s="32"/>
      <c r="L4" s="32"/>
      <c r="M4" s="32"/>
      <c r="N4" s="32"/>
      <c r="O4" s="32"/>
      <c r="P4" s="32"/>
      <c r="Q4" s="32"/>
      <c r="R4" s="32"/>
      <c r="S4" s="32"/>
      <c r="T4" s="32"/>
      <c r="U4" s="32"/>
    </row>
    <row r="5" spans="1:21">
      <c r="A5" s="32"/>
      <c r="B5" s="32"/>
      <c r="C5" s="32"/>
      <c r="D5" s="32"/>
      <c r="E5" s="32"/>
      <c r="F5" s="32"/>
      <c r="G5" s="32"/>
      <c r="H5" s="32"/>
      <c r="I5" s="32"/>
      <c r="J5" s="32"/>
      <c r="K5" s="32"/>
      <c r="L5" s="32"/>
      <c r="M5" s="32"/>
      <c r="N5" s="32"/>
      <c r="O5" s="32"/>
      <c r="P5" s="32"/>
      <c r="Q5" s="32"/>
      <c r="R5" s="32"/>
      <c r="S5" s="32"/>
      <c r="T5" s="32"/>
      <c r="U5" s="32"/>
    </row>
    <row r="6" spans="1:21">
      <c r="A6" s="32"/>
      <c r="B6" s="32"/>
      <c r="C6" s="32"/>
      <c r="D6" s="32"/>
      <c r="E6" s="32"/>
      <c r="F6" s="32"/>
      <c r="G6" s="32"/>
      <c r="H6" s="32"/>
      <c r="I6" s="32"/>
      <c r="J6" s="32"/>
      <c r="K6" s="32"/>
      <c r="L6" s="32"/>
      <c r="M6" s="32"/>
      <c r="N6" s="32"/>
      <c r="O6" s="32"/>
      <c r="P6" s="32"/>
      <c r="Q6" s="32"/>
      <c r="R6" s="32"/>
      <c r="S6" s="32"/>
      <c r="T6" s="32"/>
      <c r="U6" s="32"/>
    </row>
    <row r="7" spans="1:21">
      <c r="A7" s="32"/>
      <c r="B7" s="32"/>
      <c r="C7" s="32"/>
      <c r="D7" s="32"/>
      <c r="E7" s="32"/>
      <c r="F7" s="32"/>
      <c r="G7" s="32"/>
      <c r="H7" s="32"/>
      <c r="I7" s="32"/>
      <c r="J7" s="32"/>
      <c r="K7" s="32"/>
      <c r="L7" s="32"/>
      <c r="M7" s="32"/>
      <c r="N7" s="32"/>
      <c r="O7" s="32"/>
      <c r="P7" s="32"/>
      <c r="Q7" s="32"/>
      <c r="R7" s="32"/>
      <c r="S7" s="32"/>
      <c r="T7" s="32"/>
      <c r="U7" s="32"/>
    </row>
    <row r="8" spans="1:21">
      <c r="A8" s="32"/>
      <c r="B8" s="32"/>
      <c r="C8" s="32"/>
      <c r="D8" s="32"/>
      <c r="E8" s="32"/>
      <c r="F8" s="32"/>
      <c r="G8" s="32"/>
      <c r="H8" s="32"/>
      <c r="I8" s="32"/>
      <c r="J8" s="32"/>
      <c r="K8" s="32"/>
      <c r="L8" s="32"/>
      <c r="M8" s="32"/>
      <c r="N8" s="32"/>
      <c r="O8" s="32"/>
      <c r="P8" s="32"/>
      <c r="Q8" s="32"/>
      <c r="R8" s="32"/>
      <c r="S8" s="32"/>
      <c r="T8" s="32"/>
      <c r="U8" s="32"/>
    </row>
    <row r="9" spans="1:21" ht="23.5">
      <c r="A9" s="32"/>
      <c r="B9" s="32"/>
      <c r="C9" s="32"/>
      <c r="D9" s="32"/>
      <c r="E9" s="32"/>
      <c r="F9" s="32"/>
      <c r="G9" s="32"/>
      <c r="H9" s="32"/>
      <c r="I9" s="32"/>
      <c r="J9" s="32"/>
      <c r="K9" s="32"/>
      <c r="L9" s="32"/>
      <c r="M9" s="32"/>
      <c r="N9" s="32"/>
      <c r="O9" s="32"/>
      <c r="P9" s="32"/>
      <c r="Q9" s="32"/>
      <c r="R9" s="32"/>
      <c r="S9" s="166"/>
      <c r="T9" s="166"/>
      <c r="U9" s="32"/>
    </row>
    <row r="10" spans="1:21" ht="25">
      <c r="A10" s="32"/>
      <c r="B10" s="32"/>
      <c r="C10" s="32"/>
      <c r="D10" s="32"/>
      <c r="F10" s="164"/>
      <c r="G10" s="32"/>
      <c r="H10" s="32"/>
      <c r="I10" s="32"/>
      <c r="J10" s="32"/>
      <c r="K10" s="32"/>
      <c r="L10" s="32"/>
      <c r="M10" s="32"/>
      <c r="N10" s="32"/>
      <c r="O10" s="32"/>
      <c r="P10" s="32"/>
      <c r="Q10" s="32"/>
      <c r="R10" s="32"/>
      <c r="S10" s="32"/>
      <c r="T10" s="32"/>
      <c r="U10" s="32"/>
    </row>
    <row r="11" spans="1:21">
      <c r="A11" s="32"/>
      <c r="B11" s="32"/>
      <c r="C11" s="32"/>
      <c r="D11" s="32"/>
      <c r="E11" s="32"/>
      <c r="F11" s="32"/>
      <c r="G11" s="32"/>
      <c r="H11" s="32"/>
      <c r="I11" s="32"/>
      <c r="J11" s="32"/>
      <c r="K11" s="32"/>
      <c r="L11" s="32"/>
      <c r="M11" s="32"/>
      <c r="N11" s="32"/>
      <c r="O11" s="32"/>
      <c r="P11" s="32"/>
      <c r="Q11" s="32"/>
      <c r="R11" s="32"/>
      <c r="S11" s="32"/>
      <c r="T11" s="32"/>
      <c r="U11" s="32"/>
    </row>
    <row r="12" spans="1:21">
      <c r="A12" s="32"/>
      <c r="B12" s="32"/>
      <c r="C12" s="32"/>
      <c r="D12" s="32"/>
      <c r="E12" s="32"/>
      <c r="F12" s="32"/>
      <c r="G12" s="32"/>
      <c r="H12" s="32"/>
      <c r="I12" s="32"/>
      <c r="J12" s="32"/>
      <c r="K12" s="32"/>
      <c r="L12" s="32"/>
      <c r="M12" s="32"/>
      <c r="N12" s="32"/>
      <c r="O12" s="32"/>
      <c r="P12" s="32"/>
      <c r="Q12" s="32"/>
      <c r="R12" s="32"/>
      <c r="S12" s="32"/>
      <c r="T12" s="32"/>
      <c r="U12" s="32"/>
    </row>
    <row r="13" spans="1:21">
      <c r="A13" s="32"/>
      <c r="B13" s="32"/>
      <c r="C13" s="32"/>
      <c r="D13" s="32"/>
      <c r="E13" s="32"/>
      <c r="F13" s="32"/>
      <c r="G13" s="32"/>
      <c r="H13" s="32"/>
      <c r="I13" s="32"/>
      <c r="J13" s="32"/>
      <c r="K13" s="32"/>
      <c r="L13" s="32"/>
      <c r="M13" s="32"/>
      <c r="N13" s="32"/>
      <c r="O13" s="32"/>
      <c r="P13" s="32"/>
      <c r="Q13" s="32"/>
      <c r="R13" s="32"/>
      <c r="S13" s="32"/>
      <c r="T13" s="32"/>
      <c r="U13" s="32"/>
    </row>
    <row r="14" spans="1:21" ht="50.5">
      <c r="A14" s="32"/>
      <c r="B14" s="32"/>
      <c r="C14" s="32"/>
      <c r="D14" s="32"/>
      <c r="E14" s="32"/>
      <c r="F14" s="32"/>
      <c r="G14" s="163" t="s">
        <v>117</v>
      </c>
      <c r="H14" s="32"/>
      <c r="I14" s="32"/>
      <c r="J14" s="32"/>
      <c r="K14" s="32"/>
      <c r="L14" s="32"/>
      <c r="M14" s="32"/>
      <c r="N14" s="32"/>
      <c r="O14" s="32"/>
      <c r="P14" s="32"/>
      <c r="Q14" s="32"/>
      <c r="R14" s="32"/>
      <c r="S14" s="32"/>
      <c r="T14" s="32"/>
      <c r="U14" s="32"/>
    </row>
    <row r="15" spans="1:21">
      <c r="A15" s="32"/>
      <c r="B15" s="32"/>
      <c r="C15" s="32"/>
      <c r="D15" s="32"/>
      <c r="E15" s="32"/>
      <c r="F15" s="32"/>
      <c r="G15" s="32"/>
      <c r="H15" s="32"/>
      <c r="I15" s="32"/>
      <c r="J15" s="32"/>
      <c r="K15" s="32"/>
      <c r="L15" s="32"/>
      <c r="M15" s="32"/>
      <c r="N15" s="32"/>
      <c r="O15" s="32"/>
      <c r="P15" s="32"/>
      <c r="Q15" s="32"/>
      <c r="R15" s="32"/>
      <c r="S15" s="32"/>
      <c r="T15" s="32"/>
      <c r="U15" s="32"/>
    </row>
    <row r="16" spans="1:21">
      <c r="A16" s="32"/>
      <c r="B16" s="32"/>
      <c r="C16" s="32"/>
      <c r="D16" s="32"/>
      <c r="E16" s="32"/>
      <c r="F16" s="32"/>
      <c r="G16" s="32"/>
      <c r="H16" s="32"/>
      <c r="I16" s="32"/>
      <c r="J16" s="32"/>
      <c r="K16" s="32"/>
      <c r="L16" s="32"/>
      <c r="M16" s="32"/>
      <c r="N16" s="32"/>
      <c r="O16" s="32"/>
      <c r="P16" s="32"/>
      <c r="Q16" s="32"/>
      <c r="R16" s="32"/>
      <c r="S16" s="32"/>
      <c r="T16" s="32"/>
      <c r="U16" s="32"/>
    </row>
    <row r="17" spans="1:21">
      <c r="A17" s="32"/>
      <c r="B17" s="32"/>
      <c r="C17" s="32"/>
      <c r="D17" s="32"/>
      <c r="E17" s="32"/>
      <c r="F17" s="32"/>
      <c r="G17" s="32"/>
      <c r="H17" s="32"/>
      <c r="I17" s="32"/>
      <c r="J17" s="32"/>
      <c r="K17" s="32"/>
      <c r="L17" s="32"/>
      <c r="M17" s="32"/>
      <c r="N17" s="32"/>
      <c r="O17" s="32"/>
      <c r="P17" s="32"/>
      <c r="Q17" s="32"/>
      <c r="R17" s="32"/>
      <c r="S17" s="32"/>
      <c r="T17" s="32"/>
      <c r="U17" s="32"/>
    </row>
    <row r="18" spans="1:21">
      <c r="A18" s="32"/>
      <c r="B18" s="32"/>
      <c r="C18" s="32"/>
      <c r="D18" s="32"/>
      <c r="E18" s="32"/>
      <c r="F18" s="32"/>
      <c r="G18" s="32"/>
      <c r="H18" s="32"/>
      <c r="I18" s="32"/>
      <c r="J18" s="32"/>
      <c r="K18" s="32"/>
      <c r="L18" s="32"/>
      <c r="M18" s="32"/>
      <c r="N18" s="32"/>
      <c r="O18" s="32"/>
      <c r="P18" s="32"/>
      <c r="Q18" s="32"/>
      <c r="R18" s="32"/>
      <c r="S18" s="32"/>
      <c r="T18" s="32"/>
      <c r="U18" s="32"/>
    </row>
    <row r="19" spans="1:21">
      <c r="A19" s="32"/>
      <c r="B19" s="32"/>
      <c r="C19" s="32"/>
      <c r="D19" s="32"/>
      <c r="E19" s="32"/>
      <c r="F19" s="32"/>
      <c r="G19" s="32"/>
      <c r="H19" s="32"/>
      <c r="I19" s="32"/>
      <c r="J19" s="32"/>
      <c r="K19" s="32"/>
      <c r="L19" s="32"/>
      <c r="M19" s="32"/>
      <c r="N19" s="32"/>
      <c r="O19" s="32"/>
      <c r="P19" s="32"/>
      <c r="Q19" s="32"/>
      <c r="R19" s="32"/>
      <c r="S19" s="32"/>
      <c r="T19" s="32"/>
      <c r="U19" s="32"/>
    </row>
    <row r="20" spans="1:21">
      <c r="A20" s="32"/>
      <c r="B20" s="32"/>
      <c r="C20" s="32"/>
      <c r="D20" s="32"/>
      <c r="E20" s="32"/>
      <c r="F20" s="32"/>
      <c r="G20" s="32"/>
      <c r="H20" s="32"/>
      <c r="I20" s="32"/>
      <c r="J20" s="32"/>
      <c r="K20" s="32"/>
      <c r="L20" s="32"/>
      <c r="M20" s="32"/>
      <c r="N20" s="32"/>
      <c r="O20" s="32"/>
      <c r="P20" s="32"/>
      <c r="Q20" s="32"/>
      <c r="R20" s="32"/>
      <c r="S20" s="32"/>
      <c r="T20" s="32"/>
      <c r="U20" s="32"/>
    </row>
    <row r="21" spans="1:21">
      <c r="A21" s="32"/>
      <c r="B21" s="32"/>
      <c r="C21" s="32"/>
      <c r="D21" s="32"/>
      <c r="E21" s="32"/>
      <c r="F21" s="32"/>
      <c r="G21" s="32"/>
      <c r="H21" s="32"/>
      <c r="I21" s="32"/>
      <c r="J21" s="32"/>
      <c r="K21" s="32"/>
      <c r="L21" s="32"/>
      <c r="M21" s="32"/>
      <c r="N21" s="32"/>
      <c r="O21" s="32"/>
      <c r="P21" s="32"/>
      <c r="Q21" s="32"/>
      <c r="R21" s="32"/>
      <c r="S21" s="32"/>
      <c r="T21" s="32"/>
      <c r="U21" s="32"/>
    </row>
    <row r="22" spans="1:21">
      <c r="A22" s="32"/>
      <c r="B22" s="32"/>
      <c r="C22" s="32"/>
      <c r="D22" s="32"/>
      <c r="E22" s="32"/>
      <c r="F22" s="32"/>
      <c r="G22" s="32"/>
      <c r="H22" s="32"/>
      <c r="I22" s="32"/>
      <c r="J22" s="32"/>
      <c r="K22" s="32"/>
      <c r="L22" s="32"/>
      <c r="M22" s="32"/>
      <c r="N22" s="32"/>
      <c r="O22" s="32"/>
      <c r="P22" s="32"/>
      <c r="Q22" s="32"/>
      <c r="R22" s="32"/>
      <c r="S22" s="32"/>
      <c r="T22" s="32"/>
      <c r="U22" s="32"/>
    </row>
    <row r="23" spans="1:21">
      <c r="A23" s="32"/>
      <c r="B23" s="32"/>
      <c r="C23" s="32"/>
      <c r="D23" s="32"/>
      <c r="E23" s="32"/>
      <c r="F23" s="32"/>
      <c r="G23" s="32"/>
      <c r="H23" s="32"/>
      <c r="I23" s="32"/>
      <c r="J23" s="32"/>
      <c r="K23" s="32"/>
      <c r="L23" s="32"/>
      <c r="M23" s="32"/>
      <c r="N23" s="32"/>
      <c r="O23" s="32"/>
      <c r="P23" s="32"/>
      <c r="Q23" s="32"/>
      <c r="R23" s="32"/>
      <c r="S23" s="32"/>
      <c r="T23" s="32"/>
      <c r="U23" s="32"/>
    </row>
    <row r="24" spans="1:21">
      <c r="A24" s="32"/>
      <c r="B24" s="32"/>
      <c r="C24" s="32"/>
      <c r="D24" s="32"/>
      <c r="E24" s="32"/>
      <c r="F24" s="32"/>
      <c r="G24" s="32"/>
      <c r="H24" s="32"/>
      <c r="I24" s="32"/>
      <c r="J24" s="32"/>
      <c r="K24" s="32"/>
      <c r="L24" s="32"/>
      <c r="M24" s="32"/>
      <c r="N24" s="32"/>
      <c r="O24" s="32"/>
      <c r="P24" s="32"/>
      <c r="Q24" s="32"/>
      <c r="R24" s="32"/>
      <c r="S24" s="32"/>
      <c r="T24" s="32"/>
      <c r="U24" s="32"/>
    </row>
    <row r="25" spans="1:21">
      <c r="A25" s="32"/>
      <c r="B25" s="32"/>
      <c r="C25" s="32"/>
      <c r="D25" s="32"/>
      <c r="E25" s="32"/>
      <c r="F25" s="32"/>
      <c r="G25" s="32"/>
      <c r="H25" s="32"/>
      <c r="I25" s="32"/>
      <c r="J25" s="32"/>
      <c r="K25" s="32"/>
      <c r="L25" s="32"/>
      <c r="M25" s="32"/>
      <c r="N25" s="32"/>
      <c r="O25" s="32"/>
      <c r="P25" s="32"/>
      <c r="Q25" s="32"/>
      <c r="R25" s="32"/>
      <c r="S25" s="32"/>
      <c r="T25" s="32"/>
      <c r="U25" s="32"/>
    </row>
    <row r="26" spans="1:21">
      <c r="A26" s="32"/>
      <c r="B26" s="32"/>
      <c r="C26" s="32"/>
      <c r="D26" s="32"/>
      <c r="E26" s="32"/>
      <c r="F26" s="32"/>
      <c r="G26" s="32"/>
      <c r="H26" s="32"/>
      <c r="I26" s="32"/>
      <c r="J26" s="32"/>
      <c r="K26" s="32"/>
      <c r="L26" s="32"/>
      <c r="M26" s="32"/>
      <c r="N26" s="32"/>
      <c r="O26" s="32"/>
      <c r="P26" s="32"/>
      <c r="Q26" s="32"/>
      <c r="R26" s="32"/>
      <c r="S26" s="32"/>
      <c r="T26" s="32"/>
      <c r="U26" s="32"/>
    </row>
    <row r="27" spans="1:21">
      <c r="A27" s="32"/>
      <c r="B27" s="32"/>
      <c r="C27" s="32"/>
      <c r="D27" s="32"/>
      <c r="E27" s="32"/>
      <c r="F27" s="32"/>
      <c r="G27" s="32"/>
      <c r="H27" s="32"/>
      <c r="I27" s="32"/>
      <c r="J27" s="32"/>
      <c r="K27" s="32"/>
      <c r="L27" s="32"/>
      <c r="M27" s="32"/>
      <c r="N27" s="32"/>
      <c r="O27" s="32"/>
      <c r="P27" s="32"/>
      <c r="Q27" s="32"/>
      <c r="R27" s="32"/>
      <c r="S27" s="32"/>
      <c r="T27" s="32"/>
      <c r="U27" s="32"/>
    </row>
    <row r="28" spans="1:21">
      <c r="A28" s="32"/>
      <c r="B28" s="32"/>
      <c r="C28" s="32"/>
      <c r="D28" s="32"/>
      <c r="E28" s="32"/>
      <c r="F28" s="32"/>
      <c r="G28" s="32"/>
      <c r="H28" s="32"/>
      <c r="I28" s="32"/>
      <c r="J28" s="32"/>
      <c r="K28" s="32"/>
      <c r="L28" s="32"/>
      <c r="M28" s="32"/>
      <c r="N28" s="32"/>
      <c r="O28" s="32"/>
      <c r="P28" s="32"/>
      <c r="Q28" s="32"/>
      <c r="R28" s="32"/>
      <c r="S28" s="32"/>
      <c r="T28" s="32"/>
      <c r="U28" s="32"/>
    </row>
    <row r="29" spans="1:21">
      <c r="A29" s="32"/>
      <c r="B29" s="32"/>
      <c r="C29" s="32"/>
      <c r="D29" s="32"/>
      <c r="E29" s="32"/>
      <c r="F29" s="32"/>
      <c r="G29" s="32"/>
      <c r="H29" s="32"/>
      <c r="I29" s="32"/>
      <c r="J29" s="32"/>
      <c r="K29" s="32"/>
      <c r="L29" s="32"/>
      <c r="M29" s="32"/>
      <c r="N29" s="32"/>
      <c r="O29" s="32"/>
      <c r="P29" s="32"/>
      <c r="Q29" s="32"/>
      <c r="R29" s="32"/>
      <c r="S29" s="32"/>
      <c r="T29" s="32"/>
      <c r="U29" s="32"/>
    </row>
    <row r="30" spans="1:21">
      <c r="A30" s="32"/>
      <c r="B30" s="32"/>
      <c r="C30" s="32"/>
      <c r="D30" s="32"/>
      <c r="E30" s="32"/>
      <c r="F30" s="32"/>
      <c r="G30" s="32"/>
      <c r="H30" s="32"/>
      <c r="I30" s="32"/>
      <c r="J30" s="32"/>
      <c r="K30" s="32"/>
      <c r="L30" s="32"/>
      <c r="M30" s="32"/>
      <c r="N30" s="32"/>
      <c r="O30" s="32"/>
      <c r="P30" s="32"/>
      <c r="Q30" s="32"/>
      <c r="R30" s="32"/>
      <c r="S30" s="32"/>
      <c r="T30" s="32"/>
      <c r="U30" s="32"/>
    </row>
    <row r="31" spans="1:21">
      <c r="A31" s="32"/>
      <c r="B31" s="32"/>
      <c r="C31" s="32"/>
      <c r="D31" s="32"/>
      <c r="E31" s="32"/>
      <c r="F31" s="32"/>
      <c r="G31" s="32"/>
      <c r="H31" s="32"/>
      <c r="I31" s="32"/>
      <c r="J31" s="32"/>
      <c r="K31" s="32"/>
      <c r="L31" s="32"/>
      <c r="M31" s="32"/>
      <c r="N31" s="32"/>
      <c r="O31" s="32"/>
      <c r="P31" s="32"/>
      <c r="Q31" s="32"/>
      <c r="R31" s="32"/>
      <c r="S31" s="32"/>
      <c r="T31" s="32"/>
      <c r="U31" s="32"/>
    </row>
    <row r="32" spans="1:21">
      <c r="A32" s="32"/>
      <c r="B32" s="32"/>
      <c r="C32" s="32"/>
      <c r="D32" s="32"/>
      <c r="E32" s="32"/>
      <c r="F32" s="32"/>
      <c r="G32" s="32"/>
      <c r="H32" s="32"/>
      <c r="I32" s="32"/>
      <c r="J32" s="32"/>
      <c r="K32" s="32"/>
      <c r="L32" s="32"/>
      <c r="M32" s="32"/>
      <c r="N32" s="32"/>
      <c r="O32" s="32"/>
      <c r="P32" s="32"/>
      <c r="Q32" s="32"/>
      <c r="R32" s="32"/>
      <c r="S32" s="32"/>
      <c r="T32" s="32"/>
      <c r="U32" s="32"/>
    </row>
    <row r="33" spans="1:21">
      <c r="A33" s="32"/>
      <c r="B33" s="32"/>
      <c r="C33" s="32"/>
      <c r="D33" s="32"/>
      <c r="E33" s="32"/>
      <c r="F33" s="32"/>
      <c r="G33" s="32"/>
      <c r="H33" s="32"/>
      <c r="I33" s="32"/>
      <c r="J33" s="32"/>
      <c r="K33" s="32"/>
      <c r="L33" s="32"/>
      <c r="M33" s="32"/>
      <c r="N33" s="32"/>
      <c r="O33" s="32"/>
      <c r="P33" s="32"/>
      <c r="Q33" s="32"/>
      <c r="R33" s="32"/>
      <c r="S33" s="32"/>
      <c r="T33" s="32"/>
      <c r="U33" s="32"/>
    </row>
    <row r="34" spans="1:21">
      <c r="A34" s="32"/>
      <c r="B34" s="32"/>
      <c r="C34" s="32"/>
      <c r="D34" s="32"/>
      <c r="E34" s="32"/>
      <c r="F34" s="32"/>
      <c r="G34" s="32"/>
      <c r="H34" s="32"/>
      <c r="I34" s="32"/>
      <c r="J34" s="32"/>
      <c r="K34" s="32"/>
      <c r="L34" s="32"/>
      <c r="M34" s="32"/>
      <c r="N34" s="32"/>
      <c r="O34" s="32"/>
      <c r="P34" s="32"/>
      <c r="Q34" s="32"/>
      <c r="R34" s="32"/>
      <c r="S34" s="32"/>
      <c r="T34" s="32"/>
      <c r="U34" s="32"/>
    </row>
    <row r="35" spans="1:21">
      <c r="A35" s="32"/>
      <c r="B35" s="32"/>
      <c r="C35" s="32"/>
      <c r="D35" s="32"/>
      <c r="E35" s="32"/>
      <c r="F35" s="32"/>
      <c r="G35" s="32"/>
      <c r="H35" s="32"/>
      <c r="I35" s="32"/>
      <c r="J35" s="32"/>
      <c r="K35" s="32"/>
      <c r="L35" s="32"/>
      <c r="M35" s="32"/>
      <c r="N35" s="32"/>
      <c r="O35" s="32"/>
      <c r="P35" s="32"/>
      <c r="Q35" s="32"/>
      <c r="R35" s="32"/>
      <c r="S35" s="32"/>
      <c r="T35" s="32"/>
      <c r="U35" s="32"/>
    </row>
    <row r="36" spans="1:21">
      <c r="A36" s="32"/>
      <c r="B36" s="32"/>
      <c r="C36" s="32"/>
      <c r="D36" s="32"/>
      <c r="E36" s="32"/>
      <c r="F36" s="32"/>
      <c r="G36" s="32"/>
      <c r="H36" s="32"/>
      <c r="I36" s="32"/>
      <c r="J36" s="32"/>
      <c r="K36" s="32"/>
      <c r="L36" s="32"/>
      <c r="M36" s="32"/>
      <c r="N36" s="32"/>
      <c r="O36" s="32"/>
      <c r="P36" s="32"/>
      <c r="Q36" s="32"/>
      <c r="R36" s="32"/>
      <c r="S36" s="32"/>
      <c r="T36" s="32"/>
      <c r="U36" s="32"/>
    </row>
    <row r="37" spans="1:21">
      <c r="A37" s="32"/>
      <c r="B37" s="32"/>
      <c r="C37" s="32"/>
      <c r="D37" s="32"/>
      <c r="E37" s="32"/>
      <c r="F37" s="32"/>
      <c r="G37" s="32"/>
      <c r="H37" s="32"/>
      <c r="I37" s="32"/>
      <c r="J37" s="32"/>
      <c r="K37" s="32"/>
      <c r="L37" s="32"/>
      <c r="M37" s="32"/>
      <c r="N37" s="32"/>
      <c r="O37" s="32"/>
      <c r="P37" s="32"/>
      <c r="Q37" s="32"/>
      <c r="R37" s="32"/>
      <c r="S37" s="32"/>
      <c r="T37" s="32"/>
      <c r="U37" s="32"/>
    </row>
  </sheetData>
  <pageMargins left="0.1" right="0.1" top="0.1" bottom="0.1" header="0.3" footer="0.3"/>
  <pageSetup scale="7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110B-1ECD-4E11-9C0F-A589D5A39820}">
  <sheetPr>
    <pageSetUpPr fitToPage="1"/>
  </sheetPr>
  <dimension ref="A1:AB57"/>
  <sheetViews>
    <sheetView showGridLines="0" view="pageBreakPreview" topLeftCell="A6" zoomScale="97" zoomScaleNormal="100" workbookViewId="0">
      <selection activeCell="E23" activeCellId="1" sqref="A6:B58 E1:E1048576"/>
    </sheetView>
  </sheetViews>
  <sheetFormatPr defaultRowHeight="14.5"/>
  <cols>
    <col min="1" max="1" width="31.54296875" bestFit="1" customWidth="1"/>
    <col min="2" max="2" width="16.26953125" bestFit="1" customWidth="1"/>
    <col min="3" max="3" width="11.26953125" bestFit="1" customWidth="1"/>
    <col min="4" max="4" width="26.26953125" bestFit="1" customWidth="1"/>
    <col min="5" max="5" width="15" customWidth="1"/>
    <col min="6" max="6" width="11.54296875" bestFit="1" customWidth="1"/>
    <col min="7" max="7" width="15.453125" customWidth="1"/>
    <col min="8" max="8" width="11.54296875" bestFit="1" customWidth="1"/>
    <col min="9" max="9" width="12.26953125" customWidth="1"/>
    <col min="10" max="10" width="16" customWidth="1"/>
    <col min="11" max="11" width="15.7265625" customWidth="1"/>
    <col min="12" max="12" width="8.1796875" bestFit="1" customWidth="1"/>
    <col min="13" max="14" width="22.81640625" customWidth="1"/>
    <col min="15" max="19" width="16.7265625" customWidth="1"/>
    <col min="20" max="20" width="10.7265625" customWidth="1"/>
    <col min="21" max="21" width="16.7265625" customWidth="1"/>
    <col min="22" max="22" width="10.453125" bestFit="1" customWidth="1"/>
    <col min="24" max="24" width="9.453125" bestFit="1" customWidth="1"/>
    <col min="26" max="26" width="10.1796875" bestFit="1" customWidth="1"/>
    <col min="27" max="27" width="9.26953125" bestFit="1" customWidth="1"/>
    <col min="29" max="29" width="9.453125" bestFit="1" customWidth="1"/>
  </cols>
  <sheetData>
    <row r="1" spans="1:28" s="75" customFormat="1" ht="16.5" customHeight="1">
      <c r="B1" s="126"/>
      <c r="C1" s="126"/>
      <c r="D1" s="126"/>
      <c r="E1" s="126"/>
      <c r="F1" s="126"/>
      <c r="G1" s="126"/>
      <c r="H1" s="126"/>
      <c r="I1" s="126"/>
      <c r="J1" s="126"/>
      <c r="K1" s="126"/>
      <c r="L1" s="126"/>
      <c r="M1" s="126"/>
      <c r="N1" s="126"/>
      <c r="O1" s="126"/>
      <c r="P1" s="126"/>
      <c r="Q1" s="126"/>
      <c r="R1" s="126"/>
      <c r="S1" s="126"/>
      <c r="T1" s="126"/>
      <c r="U1" s="126"/>
      <c r="W1" s="126"/>
      <c r="X1" s="126"/>
      <c r="Y1" s="126"/>
      <c r="Z1" s="126"/>
      <c r="AA1" s="126"/>
    </row>
    <row r="2" spans="1:28" s="93" customFormat="1" ht="25">
      <c r="A2" s="131" t="s">
        <v>458</v>
      </c>
      <c r="B2" s="131"/>
      <c r="C2" s="131"/>
      <c r="D2" s="131"/>
      <c r="E2" s="131"/>
      <c r="F2" s="131"/>
      <c r="G2" s="131"/>
      <c r="H2" s="131"/>
      <c r="I2" s="131"/>
      <c r="J2" s="131"/>
      <c r="K2" s="132"/>
      <c r="L2" s="131"/>
      <c r="M2" s="131"/>
      <c r="N2" s="131"/>
      <c r="O2" s="131"/>
      <c r="P2" s="131"/>
      <c r="Q2" s="131"/>
      <c r="R2" s="131"/>
      <c r="S2" s="131"/>
      <c r="T2" s="131"/>
      <c r="U2" s="133"/>
      <c r="V2" s="127"/>
      <c r="W2" s="126"/>
      <c r="X2" s="126"/>
      <c r="Y2" s="126"/>
      <c r="Z2" s="126"/>
      <c r="AA2" s="126"/>
    </row>
    <row r="3" spans="1:28">
      <c r="A3" t="s">
        <v>12</v>
      </c>
      <c r="B3" s="8">
        <f ca="1">TODAY()</f>
        <v>46070</v>
      </c>
      <c r="C3" s="36" t="s">
        <v>42</v>
      </c>
      <c r="D3" s="36"/>
    </row>
    <row r="4" spans="1:28">
      <c r="A4" s="22"/>
      <c r="B4" s="22"/>
      <c r="C4" s="22"/>
      <c r="D4" s="22"/>
      <c r="E4" s="22"/>
      <c r="F4" s="22"/>
      <c r="G4" s="22"/>
      <c r="H4" s="22"/>
      <c r="I4" s="22"/>
      <c r="J4" s="22"/>
      <c r="K4" s="22"/>
      <c r="L4" s="22"/>
      <c r="M4" s="22"/>
      <c r="N4" s="22"/>
      <c r="O4" s="22"/>
    </row>
    <row r="5" spans="1:28">
      <c r="A5" s="23" t="s">
        <v>0</v>
      </c>
      <c r="B5" s="22" t="s">
        <v>23</v>
      </c>
      <c r="C5" s="22"/>
      <c r="D5" s="22"/>
      <c r="E5" s="24"/>
      <c r="F5" s="22"/>
      <c r="G5" s="22"/>
      <c r="H5" s="22"/>
      <c r="I5" s="22"/>
      <c r="J5" s="22"/>
      <c r="K5" s="22"/>
      <c r="L5" s="22"/>
      <c r="M5" s="22"/>
      <c r="N5" s="22"/>
      <c r="O5" s="22"/>
    </row>
    <row r="6" spans="1:28">
      <c r="D6" s="25" t="s">
        <v>743</v>
      </c>
      <c r="E6" s="25" t="s">
        <v>9</v>
      </c>
      <c r="F6" s="27"/>
      <c r="G6" s="25"/>
      <c r="H6" s="25" t="s">
        <v>126</v>
      </c>
      <c r="I6" s="25"/>
      <c r="J6" s="25"/>
      <c r="K6" s="25" t="s">
        <v>125</v>
      </c>
    </row>
    <row r="7" spans="1:28">
      <c r="A7" s="6" t="s">
        <v>558</v>
      </c>
      <c r="B7" s="10">
        <v>25050</v>
      </c>
      <c r="E7" s="12">
        <v>5.0000000000000001E-4</v>
      </c>
      <c r="F7" s="9"/>
      <c r="G7" s="9"/>
      <c r="H7" s="40"/>
      <c r="I7" s="31"/>
      <c r="K7" s="31"/>
      <c r="L7" s="31"/>
      <c r="M7" s="31"/>
      <c r="N7" s="31"/>
      <c r="O7" s="32"/>
      <c r="P7" s="32"/>
      <c r="Q7" s="32"/>
      <c r="R7" s="32"/>
      <c r="S7" s="32"/>
      <c r="T7" s="32"/>
      <c r="U7" s="32"/>
      <c r="V7" s="32"/>
      <c r="W7" s="32"/>
      <c r="X7" s="32"/>
      <c r="Y7" s="32"/>
      <c r="Z7" s="32"/>
      <c r="AA7" s="32"/>
      <c r="AB7" s="32"/>
    </row>
    <row r="8" spans="1:28">
      <c r="A8" s="6" t="s">
        <v>560</v>
      </c>
      <c r="B8" s="10">
        <v>107000</v>
      </c>
      <c r="D8" s="9" t="s">
        <v>118</v>
      </c>
      <c r="E8" s="12">
        <v>0</v>
      </c>
      <c r="G8" s="9" t="s">
        <v>164</v>
      </c>
      <c r="H8" s="31" t="s">
        <v>165</v>
      </c>
      <c r="I8" s="32"/>
      <c r="K8" s="31" t="s">
        <v>121</v>
      </c>
      <c r="L8" s="32"/>
      <c r="M8" s="32"/>
      <c r="N8" s="32"/>
      <c r="O8" s="32"/>
      <c r="P8" s="32"/>
      <c r="Q8" s="32"/>
      <c r="R8" s="32"/>
      <c r="S8" s="32"/>
      <c r="T8" s="32"/>
      <c r="U8" s="32"/>
      <c r="V8" s="32"/>
      <c r="W8" s="32"/>
      <c r="X8" s="32"/>
      <c r="Y8" s="32"/>
      <c r="Z8" s="32"/>
      <c r="AA8" s="32"/>
      <c r="AB8" s="32"/>
    </row>
    <row r="9" spans="1:28">
      <c r="A9" s="21" t="s">
        <v>559</v>
      </c>
      <c r="B9" s="13">
        <f>SUM(B7:B8)</f>
        <v>132050</v>
      </c>
      <c r="C9" s="1"/>
      <c r="D9" s="1"/>
      <c r="E9" s="19">
        <f>SUMPRODUCT(E7:E8,B7:B8)/B9</f>
        <v>9.4850435441120784E-5</v>
      </c>
      <c r="F9" s="1"/>
      <c r="G9" s="1"/>
      <c r="H9" s="31"/>
      <c r="I9" s="33"/>
      <c r="K9" s="33"/>
      <c r="L9" s="33"/>
      <c r="M9" s="33"/>
      <c r="N9" s="33"/>
      <c r="O9" s="33"/>
      <c r="P9" s="32"/>
      <c r="Q9" s="32"/>
      <c r="R9" s="32"/>
      <c r="S9" s="32"/>
      <c r="T9" s="32"/>
      <c r="U9" s="32"/>
      <c r="V9" s="32"/>
      <c r="W9" s="32"/>
      <c r="X9" s="32"/>
      <c r="Y9" s="32"/>
      <c r="Z9" s="32"/>
      <c r="AA9" s="32"/>
      <c r="AB9" s="32"/>
    </row>
    <row r="10" spans="1:28" ht="23.5">
      <c r="A10" s="6" t="s">
        <v>561</v>
      </c>
      <c r="B10" s="10">
        <v>225000</v>
      </c>
      <c r="D10" s="9"/>
      <c r="E10" s="12">
        <v>3.6499999999999998E-2</v>
      </c>
      <c r="F10" s="9">
        <v>45735</v>
      </c>
      <c r="G10" s="9" t="s">
        <v>10</v>
      </c>
      <c r="H10" s="31" t="s">
        <v>166</v>
      </c>
      <c r="I10" s="31"/>
      <c r="K10" s="31" t="s">
        <v>119</v>
      </c>
      <c r="L10" s="31"/>
      <c r="M10" s="31" t="s">
        <v>127</v>
      </c>
      <c r="N10" s="31"/>
      <c r="O10" s="32"/>
      <c r="P10" s="32"/>
      <c r="Q10" s="32"/>
      <c r="R10" s="32"/>
      <c r="S10" s="166"/>
      <c r="T10" s="166"/>
      <c r="U10" s="32"/>
      <c r="V10" s="32"/>
      <c r="W10" s="32"/>
      <c r="X10" s="32"/>
      <c r="Y10" s="32"/>
      <c r="Z10" s="32"/>
      <c r="AA10" s="32"/>
      <c r="AB10" s="32"/>
    </row>
    <row r="11" spans="1:28">
      <c r="A11" s="6" t="s">
        <v>578</v>
      </c>
      <c r="B11" s="10">
        <v>15000</v>
      </c>
      <c r="D11" s="9"/>
      <c r="E11" s="12">
        <v>3.78E-2</v>
      </c>
      <c r="F11" s="9">
        <v>45735</v>
      </c>
      <c r="G11" s="9" t="s">
        <v>10</v>
      </c>
      <c r="H11" s="31" t="s">
        <v>124</v>
      </c>
      <c r="I11" s="31"/>
      <c r="K11" s="31" t="s">
        <v>122</v>
      </c>
      <c r="L11" s="31"/>
      <c r="M11" s="31"/>
      <c r="N11" s="31"/>
      <c r="O11" s="32"/>
      <c r="P11" s="32"/>
      <c r="Q11" s="32"/>
      <c r="R11" s="32"/>
      <c r="S11" s="32"/>
      <c r="T11" s="32"/>
      <c r="U11" s="32"/>
      <c r="V11" s="32"/>
      <c r="W11" s="32"/>
      <c r="X11" s="32"/>
      <c r="Y11" s="32"/>
      <c r="Z11" s="32"/>
      <c r="AA11" s="32"/>
      <c r="AB11" s="32"/>
    </row>
    <row r="12" spans="1:28">
      <c r="A12" s="6" t="s">
        <v>406</v>
      </c>
      <c r="B12" s="10"/>
      <c r="D12" s="9"/>
      <c r="E12" s="484"/>
      <c r="F12" s="9">
        <v>45735</v>
      </c>
      <c r="G12" s="9" t="s">
        <v>10</v>
      </c>
      <c r="H12" s="31" t="s">
        <v>124</v>
      </c>
      <c r="I12" s="32"/>
      <c r="K12" s="31" t="s">
        <v>123</v>
      </c>
      <c r="L12" s="32"/>
      <c r="M12" s="32"/>
      <c r="N12" s="32"/>
      <c r="O12" s="32"/>
      <c r="P12" s="32"/>
      <c r="Q12" s="32"/>
      <c r="R12" s="32"/>
      <c r="S12" s="32"/>
      <c r="T12" s="32"/>
      <c r="U12" s="32"/>
      <c r="V12" s="32"/>
      <c r="W12" s="32"/>
      <c r="X12" s="32"/>
      <c r="Y12" s="32"/>
      <c r="Z12" s="32"/>
      <c r="AA12" s="32"/>
      <c r="AB12" s="32"/>
    </row>
    <row r="13" spans="1:28">
      <c r="A13" s="21" t="s">
        <v>67</v>
      </c>
      <c r="B13" s="7">
        <f>SUM(B10:B12)</f>
        <v>240000</v>
      </c>
      <c r="E13" s="11">
        <f>SUMPRODUCT(E10:E12,B10:B12)/B13</f>
        <v>3.6581250000000003E-2</v>
      </c>
    </row>
    <row r="14" spans="1:28" ht="17">
      <c r="A14" s="39" t="s">
        <v>3</v>
      </c>
      <c r="B14" s="13">
        <f>+B13+B9</f>
        <v>372050</v>
      </c>
      <c r="D14" s="1"/>
      <c r="E14" s="19">
        <f>+(B9*E9+B13*E13)/B14</f>
        <v>2.363129955651122E-2</v>
      </c>
      <c r="F14" s="1"/>
      <c r="G14" s="1"/>
      <c r="H14" s="1"/>
      <c r="I14" s="1"/>
      <c r="J14" s="1"/>
      <c r="K14" s="1"/>
      <c r="L14" s="1"/>
      <c r="M14" s="1"/>
      <c r="N14" s="1"/>
      <c r="O14" s="1"/>
    </row>
    <row r="15" spans="1:28">
      <c r="A15" s="6" t="s">
        <v>6</v>
      </c>
      <c r="B15" s="10">
        <v>135000</v>
      </c>
      <c r="D15" s="9" t="s">
        <v>150</v>
      </c>
      <c r="E15" s="12">
        <v>3.95E-2</v>
      </c>
      <c r="F15" s="1"/>
      <c r="G15" s="1"/>
      <c r="I15" s="1"/>
      <c r="J15" s="1"/>
      <c r="K15" s="1"/>
      <c r="M15" s="1"/>
      <c r="N15" s="1"/>
      <c r="O15" s="1"/>
    </row>
    <row r="16" spans="1:28">
      <c r="A16" s="6" t="s">
        <v>396</v>
      </c>
      <c r="B16" s="172">
        <f>+SUM('Investment Breakdown'!B6:B11)</f>
        <v>1201688.5660081687</v>
      </c>
      <c r="D16" s="9" t="s">
        <v>149</v>
      </c>
    </row>
    <row r="17" spans="1:15">
      <c r="A17" s="6" t="s">
        <v>151</v>
      </c>
      <c r="B17" s="172">
        <f>+'Investment Breakdown'!B15</f>
        <v>9500</v>
      </c>
      <c r="D17" s="9" t="s">
        <v>149</v>
      </c>
    </row>
    <row r="18" spans="1:15">
      <c r="A18" s="6" t="s">
        <v>183</v>
      </c>
      <c r="B18" s="172">
        <f>SUM('Investment Breakdown'!B12:B13)</f>
        <v>298311.4339918312</v>
      </c>
      <c r="C18" s="1"/>
      <c r="D18" s="9" t="s">
        <v>149</v>
      </c>
      <c r="E18" s="1"/>
      <c r="F18" s="1"/>
      <c r="G18" s="1"/>
      <c r="H18" s="1"/>
      <c r="I18" s="1"/>
      <c r="J18" s="1"/>
      <c r="K18" s="1"/>
      <c r="L18" s="1"/>
      <c r="M18" s="1"/>
      <c r="N18" s="1"/>
      <c r="O18" s="1"/>
    </row>
    <row r="19" spans="1:15">
      <c r="A19" s="21" t="s">
        <v>562</v>
      </c>
      <c r="B19" s="13">
        <f>SUM(B15:B18)</f>
        <v>1644500</v>
      </c>
      <c r="C19" s="1"/>
      <c r="D19" s="9"/>
      <c r="E19" s="1"/>
      <c r="F19" s="1"/>
      <c r="G19" s="1"/>
      <c r="H19" s="1"/>
      <c r="I19" s="1"/>
      <c r="J19" s="1"/>
      <c r="K19" s="1"/>
      <c r="L19" s="1"/>
      <c r="M19" s="1"/>
      <c r="N19" s="1"/>
      <c r="O19" s="1"/>
    </row>
    <row r="20" spans="1:15">
      <c r="A20" s="6" t="s">
        <v>563</v>
      </c>
      <c r="B20" s="10">
        <v>75000</v>
      </c>
      <c r="C20" s="1"/>
      <c r="D20" s="9"/>
      <c r="E20" s="1"/>
      <c r="F20" s="1"/>
      <c r="G20" s="1"/>
      <c r="H20" s="1"/>
      <c r="I20" s="1"/>
      <c r="J20" s="1"/>
      <c r="K20" s="1"/>
      <c r="L20" s="1"/>
      <c r="M20" s="1"/>
      <c r="N20" s="1"/>
      <c r="O20" s="1"/>
    </row>
    <row r="21" spans="1:15">
      <c r="A21" s="6" t="s">
        <v>564</v>
      </c>
      <c r="B21" s="10">
        <f>250000-B20</f>
        <v>175000</v>
      </c>
      <c r="C21" s="1"/>
      <c r="D21" s="9"/>
      <c r="E21" s="1"/>
      <c r="F21" s="1"/>
      <c r="G21" s="1"/>
      <c r="H21" s="1"/>
      <c r="I21" s="1"/>
      <c r="J21" s="1"/>
      <c r="K21" s="1"/>
      <c r="L21" s="1"/>
      <c r="M21" s="1"/>
      <c r="N21" s="1"/>
      <c r="O21" s="1"/>
    </row>
    <row r="22" spans="1:15">
      <c r="A22" s="21" t="s">
        <v>403</v>
      </c>
      <c r="B22" s="13">
        <f>SUM(B20:B21)</f>
        <v>250000</v>
      </c>
      <c r="C22" s="1"/>
      <c r="D22" s="9"/>
      <c r="E22" s="1"/>
      <c r="F22" s="1"/>
      <c r="G22" s="1"/>
      <c r="H22" s="1"/>
      <c r="I22" s="1"/>
      <c r="J22" s="1"/>
      <c r="K22" s="1"/>
      <c r="L22" s="1"/>
      <c r="M22" s="1"/>
      <c r="N22" s="1"/>
      <c r="O22" s="1"/>
    </row>
    <row r="23" spans="1:15" ht="17">
      <c r="A23" s="39" t="s">
        <v>5</v>
      </c>
      <c r="B23" s="13">
        <f>B19+B22</f>
        <v>1894500</v>
      </c>
      <c r="C23" s="1"/>
      <c r="D23" s="1"/>
      <c r="E23" s="1"/>
      <c r="F23" s="1"/>
      <c r="G23" s="1"/>
      <c r="H23" s="1"/>
      <c r="I23" s="1"/>
      <c r="J23" s="1"/>
      <c r="K23" s="1"/>
      <c r="L23" s="1"/>
      <c r="M23" s="1"/>
      <c r="N23" s="1"/>
      <c r="O23" s="1"/>
    </row>
    <row r="24" spans="1:15">
      <c r="A24" s="6" t="s">
        <v>565</v>
      </c>
      <c r="B24" s="10">
        <v>325000</v>
      </c>
    </row>
    <row r="25" spans="1:15">
      <c r="A25" s="6" t="s">
        <v>566</v>
      </c>
      <c r="B25" s="10">
        <v>510000</v>
      </c>
    </row>
    <row r="26" spans="1:15">
      <c r="A26" s="21" t="s">
        <v>567</v>
      </c>
      <c r="B26" s="10">
        <f>SUM(B24:B25)</f>
        <v>835000</v>
      </c>
    </row>
    <row r="27" spans="1:15">
      <c r="A27" s="6" t="s">
        <v>572</v>
      </c>
      <c r="B27" s="10">
        <v>80000</v>
      </c>
      <c r="D27" s="9"/>
      <c r="E27" s="167"/>
      <c r="F27" t="s">
        <v>39</v>
      </c>
      <c r="G27" s="169"/>
      <c r="H27" t="s">
        <v>41</v>
      </c>
    </row>
    <row r="28" spans="1:15">
      <c r="A28" s="28" t="s">
        <v>435</v>
      </c>
      <c r="B28" s="10">
        <f>+B27</f>
        <v>80000</v>
      </c>
      <c r="D28" s="9"/>
      <c r="E28" s="167"/>
      <c r="G28" s="169"/>
    </row>
    <row r="29" spans="1:15">
      <c r="A29" s="28" t="s">
        <v>33</v>
      </c>
      <c r="B29" s="13">
        <f>+B26+B28</f>
        <v>915000</v>
      </c>
      <c r="D29" s="2"/>
      <c r="E29" s="25" t="s">
        <v>15</v>
      </c>
      <c r="F29" s="26"/>
      <c r="G29" s="26"/>
      <c r="H29" s="27" t="s">
        <v>14</v>
      </c>
      <c r="I29" s="27"/>
      <c r="J29" s="27"/>
      <c r="K29" s="27"/>
      <c r="L29" s="27"/>
      <c r="M29" s="27"/>
      <c r="N29" s="27"/>
      <c r="O29" s="27"/>
    </row>
    <row r="30" spans="1:15" ht="29">
      <c r="A30" s="17"/>
      <c r="B30" s="17"/>
      <c r="D30" s="17"/>
      <c r="E30" s="34" t="s">
        <v>24</v>
      </c>
      <c r="F30" s="34" t="s">
        <v>25</v>
      </c>
      <c r="G30" s="34" t="s">
        <v>26</v>
      </c>
      <c r="H30" s="34" t="s">
        <v>16</v>
      </c>
      <c r="I30" s="34" t="s">
        <v>27</v>
      </c>
      <c r="J30" s="34" t="s">
        <v>22</v>
      </c>
      <c r="K30" s="35"/>
      <c r="L30" s="35"/>
      <c r="M30" s="35" t="s">
        <v>19</v>
      </c>
      <c r="N30" s="35" t="s">
        <v>20</v>
      </c>
      <c r="O30" s="35" t="s">
        <v>13</v>
      </c>
    </row>
    <row r="31" spans="1:15">
      <c r="A31" s="5" t="s">
        <v>568</v>
      </c>
      <c r="B31" s="10">
        <v>1525000</v>
      </c>
      <c r="D31" s="9"/>
      <c r="E31" s="10">
        <v>1350000</v>
      </c>
      <c r="F31" s="11">
        <f>+B31/E31-1</f>
        <v>0.12962962962962954</v>
      </c>
      <c r="G31" s="7">
        <f>B31-E31</f>
        <v>175000</v>
      </c>
      <c r="H31" t="s">
        <v>17</v>
      </c>
      <c r="I31" s="16">
        <v>0</v>
      </c>
      <c r="J31" s="16">
        <v>0</v>
      </c>
      <c r="K31" s="9"/>
      <c r="L31" s="9"/>
      <c r="M31" s="15"/>
      <c r="N31" s="15"/>
      <c r="O31" s="11">
        <f>J31*12/B31</f>
        <v>0</v>
      </c>
    </row>
    <row r="32" spans="1:15">
      <c r="A32" s="5" t="s">
        <v>569</v>
      </c>
      <c r="B32" s="10">
        <v>290000</v>
      </c>
      <c r="D32" s="9"/>
      <c r="E32" s="10">
        <v>210000</v>
      </c>
      <c r="F32" s="11">
        <f>+B32/E32-1</f>
        <v>0.38095238095238093</v>
      </c>
      <c r="G32" s="7">
        <f>B32-E32</f>
        <v>80000</v>
      </c>
      <c r="H32" t="s">
        <v>18</v>
      </c>
      <c r="I32" s="10">
        <f>2100*12</f>
        <v>25200</v>
      </c>
      <c r="J32" s="7">
        <f>+I32/12</f>
        <v>2100</v>
      </c>
      <c r="K32" s="9"/>
      <c r="L32" s="9"/>
      <c r="M32" s="15"/>
      <c r="N32" s="15"/>
      <c r="O32" s="11">
        <f>J32*12/B32</f>
        <v>8.6896551724137933E-2</v>
      </c>
    </row>
    <row r="33" spans="1:15">
      <c r="A33" s="18" t="s">
        <v>8</v>
      </c>
      <c r="B33" s="13">
        <f>SUM(B31:B32)</f>
        <v>1815000</v>
      </c>
      <c r="C33" s="1"/>
      <c r="D33" s="1"/>
      <c r="E33" s="13">
        <f>SUM(E31:E32)</f>
        <v>1560000</v>
      </c>
      <c r="F33" s="19">
        <f>E33/B33-1</f>
        <v>-0.14049586776859502</v>
      </c>
      <c r="G33" s="13">
        <f>SUM(G31:G32)</f>
        <v>255000</v>
      </c>
      <c r="H33" s="1"/>
      <c r="I33" s="1"/>
      <c r="J33" s="13">
        <f>SUM(J31:J32)</f>
        <v>2100</v>
      </c>
      <c r="K33" s="1"/>
      <c r="L33" s="1"/>
      <c r="M33" s="1"/>
      <c r="N33" s="1"/>
      <c r="O33" s="19">
        <f>J33*12/E33</f>
        <v>1.6153846153846154E-2</v>
      </c>
    </row>
    <row r="34" spans="1:15">
      <c r="A34" s="5" t="s">
        <v>570</v>
      </c>
      <c r="B34" s="172">
        <f>+'Investment Breakdown'!B22</f>
        <v>620000</v>
      </c>
      <c r="C34" s="9"/>
      <c r="D34" s="9" t="s">
        <v>149</v>
      </c>
      <c r="E34" s="13"/>
      <c r="F34" s="19"/>
      <c r="G34" s="13"/>
      <c r="H34" s="1"/>
      <c r="I34" s="1"/>
      <c r="J34" s="13"/>
      <c r="K34" s="1"/>
      <c r="L34" s="1"/>
      <c r="M34" s="1"/>
      <c r="N34" s="1"/>
      <c r="O34" s="19"/>
    </row>
    <row r="35" spans="1:15">
      <c r="A35" s="5" t="s">
        <v>571</v>
      </c>
      <c r="B35" s="172">
        <f>+'Investment Breakdown'!B30</f>
        <v>380000</v>
      </c>
      <c r="C35" s="9"/>
      <c r="D35" s="9" t="s">
        <v>149</v>
      </c>
      <c r="E35" s="13"/>
      <c r="F35" s="19"/>
      <c r="G35" s="13"/>
      <c r="H35" s="1"/>
      <c r="I35" s="1"/>
      <c r="J35" s="13"/>
      <c r="K35" s="1"/>
      <c r="L35" s="1"/>
      <c r="M35" s="1"/>
      <c r="N35" s="1"/>
      <c r="O35" s="19"/>
    </row>
    <row r="36" spans="1:15">
      <c r="A36" s="18" t="s">
        <v>29</v>
      </c>
      <c r="B36" s="13">
        <f>SUM(B34:B35)</f>
        <v>1000000</v>
      </c>
      <c r="C36" s="1"/>
      <c r="D36" s="1"/>
      <c r="E36" s="13"/>
      <c r="F36" s="19"/>
      <c r="G36" s="13"/>
      <c r="H36" s="1"/>
      <c r="I36" s="1"/>
      <c r="J36" s="13"/>
      <c r="K36" s="1"/>
      <c r="L36" s="1"/>
      <c r="M36" s="1"/>
      <c r="N36" s="1"/>
      <c r="O36" s="19"/>
    </row>
    <row r="37" spans="1:15">
      <c r="A37" s="23" t="s">
        <v>28</v>
      </c>
      <c r="B37" s="29">
        <f>B14+B23+B33+B29+B36</f>
        <v>5996550</v>
      </c>
      <c r="C37" s="29"/>
      <c r="D37" s="23"/>
      <c r="E37" s="23"/>
      <c r="F37" s="23"/>
      <c r="G37" s="23"/>
      <c r="H37" s="23"/>
      <c r="I37" s="23"/>
      <c r="J37" s="23"/>
      <c r="K37" s="23"/>
      <c r="L37" s="29"/>
      <c r="M37" s="23"/>
      <c r="N37" s="23"/>
      <c r="O37" s="23"/>
    </row>
    <row r="38" spans="1:15">
      <c r="L38" s="7"/>
    </row>
    <row r="39" spans="1:15">
      <c r="A39" s="23" t="s">
        <v>1</v>
      </c>
      <c r="B39" s="22" t="s">
        <v>37</v>
      </c>
      <c r="C39" s="22"/>
      <c r="D39" s="22"/>
      <c r="E39" s="22" t="s">
        <v>9</v>
      </c>
      <c r="F39" s="22" t="s">
        <v>38</v>
      </c>
      <c r="G39" s="22"/>
      <c r="H39" s="22"/>
      <c r="I39" s="22"/>
      <c r="J39" s="22"/>
      <c r="K39" s="22"/>
      <c r="L39" s="22"/>
      <c r="M39" s="22"/>
      <c r="N39" s="22"/>
      <c r="O39" s="22"/>
    </row>
    <row r="40" spans="1:15">
      <c r="A40" s="5" t="s">
        <v>573</v>
      </c>
      <c r="B40" s="10">
        <v>3671.14</v>
      </c>
      <c r="C40" s="9"/>
      <c r="D40" s="9"/>
      <c r="E40" s="168">
        <v>0</v>
      </c>
      <c r="F40" s="10">
        <f>3783-2500-190</f>
        <v>1093</v>
      </c>
      <c r="G40" s="9"/>
      <c r="H40" s="9"/>
    </row>
    <row r="41" spans="1:15">
      <c r="A41" s="5" t="s">
        <v>404</v>
      </c>
      <c r="B41" s="10">
        <v>5794.89</v>
      </c>
      <c r="C41" s="9"/>
      <c r="D41" s="9"/>
      <c r="E41" s="168">
        <v>0</v>
      </c>
      <c r="F41" s="10">
        <f>2163-1537</f>
        <v>626</v>
      </c>
      <c r="G41" s="9"/>
      <c r="H41" s="9"/>
    </row>
    <row r="42" spans="1:15">
      <c r="A42" s="5" t="s">
        <v>405</v>
      </c>
      <c r="B42" s="15">
        <v>2000</v>
      </c>
      <c r="C42" s="9"/>
      <c r="D42" s="9"/>
      <c r="E42" s="168">
        <v>0</v>
      </c>
      <c r="F42" s="10">
        <v>133</v>
      </c>
      <c r="G42" s="9"/>
      <c r="H42" s="9"/>
    </row>
    <row r="43" spans="1:15">
      <c r="A43" s="4" t="s">
        <v>623</v>
      </c>
      <c r="B43" s="13">
        <f>SUM(B40:B42)</f>
        <v>11466.03</v>
      </c>
      <c r="C43" s="33"/>
      <c r="D43" s="33"/>
      <c r="E43" s="705">
        <f>SUMPRODUCT(E40:E42,B40:B42)/B43</f>
        <v>0</v>
      </c>
      <c r="F43" s="704">
        <f>SUM(F40:F42)</f>
        <v>1852</v>
      </c>
      <c r="G43" s="31"/>
      <c r="H43" s="9"/>
    </row>
    <row r="44" spans="1:15" ht="35.25" customHeight="1">
      <c r="C44" s="32"/>
      <c r="D44" s="32"/>
      <c r="E44" s="706"/>
      <c r="F44" s="32"/>
      <c r="G44" s="33"/>
      <c r="H44" s="1"/>
      <c r="I44" s="34" t="s">
        <v>9</v>
      </c>
      <c r="J44" s="34" t="s">
        <v>71</v>
      </c>
      <c r="K44" s="34" t="s">
        <v>116</v>
      </c>
      <c r="L44" s="34" t="s">
        <v>72</v>
      </c>
      <c r="M44" s="1"/>
      <c r="N44" s="1"/>
      <c r="O44" s="1"/>
    </row>
    <row r="45" spans="1:15">
      <c r="A45" s="5" t="s">
        <v>69</v>
      </c>
      <c r="B45" s="10">
        <f>32000-K45*12*13</f>
        <v>11200</v>
      </c>
      <c r="C45" s="1"/>
      <c r="D45" s="1"/>
      <c r="E45" s="168">
        <v>3.4000000000000002E-2</v>
      </c>
      <c r="F45" s="13"/>
      <c r="G45" s="1"/>
      <c r="H45" s="1"/>
      <c r="J45" s="167">
        <v>2032</v>
      </c>
      <c r="K45" s="10">
        <v>133.33333333333334</v>
      </c>
      <c r="L45" s="53">
        <f>+B45*E45/12</f>
        <v>31.733333333333334</v>
      </c>
      <c r="M45" s="1"/>
      <c r="N45" s="1"/>
      <c r="O45" s="1"/>
    </row>
    <row r="46" spans="1:15">
      <c r="A46" s="5" t="s">
        <v>70</v>
      </c>
      <c r="B46" s="10">
        <f>90000-K46*12*7</f>
        <v>58500</v>
      </c>
      <c r="C46" s="1"/>
      <c r="D46" s="1"/>
      <c r="E46" s="168">
        <v>4.4999999999999998E-2</v>
      </c>
      <c r="F46" s="13"/>
      <c r="G46" s="1"/>
      <c r="H46" s="1"/>
      <c r="J46" s="167">
        <v>2038</v>
      </c>
      <c r="K46" s="10">
        <v>375</v>
      </c>
      <c r="L46" s="53">
        <f>+B46*E46/12</f>
        <v>219.375</v>
      </c>
      <c r="M46" s="1"/>
      <c r="N46" s="1"/>
      <c r="O46" s="1"/>
    </row>
    <row r="47" spans="1:15">
      <c r="A47" s="4" t="s">
        <v>622</v>
      </c>
      <c r="B47" s="13">
        <f>+SUM(B45:B46)</f>
        <v>69700</v>
      </c>
      <c r="C47" s="1"/>
      <c r="D47" s="1"/>
      <c r="E47" s="705">
        <f>SUMPRODUCT(E45:E46,B45:B46)/B47</f>
        <v>4.323242467718795E-2</v>
      </c>
      <c r="F47" s="13"/>
      <c r="G47" s="1"/>
      <c r="H47" s="1"/>
      <c r="I47" s="701">
        <f>+SUMPRODUCT(E45:E46,B45:B46)/B47</f>
        <v>4.323242467718795E-2</v>
      </c>
      <c r="J47" s="1"/>
      <c r="K47" s="1"/>
      <c r="L47" s="1"/>
      <c r="M47" s="1"/>
      <c r="N47" s="1"/>
      <c r="O47" s="1"/>
    </row>
    <row r="48" spans="1:15">
      <c r="A48" s="5" t="str">
        <f>A31</f>
        <v>Tribeca (Primary)</v>
      </c>
      <c r="B48" s="10">
        <f>+E31*70%</f>
        <v>944999.99999999988</v>
      </c>
      <c r="C48" s="9">
        <v>45712</v>
      </c>
      <c r="D48" s="9" t="s">
        <v>10</v>
      </c>
      <c r="E48" s="707">
        <v>3.15E-2</v>
      </c>
      <c r="F48" s="9">
        <v>45712</v>
      </c>
      <c r="G48" s="9" t="s">
        <v>10</v>
      </c>
      <c r="H48" s="9">
        <v>54179</v>
      </c>
      <c r="I48" s="20">
        <f>B48/B31</f>
        <v>0.61967213114754094</v>
      </c>
    </row>
    <row r="49" spans="1:15">
      <c r="A49" s="5" t="str">
        <f>A32</f>
        <v>Sarasota (Investment)</v>
      </c>
      <c r="B49" s="10">
        <f>+E32*70%</f>
        <v>147000</v>
      </c>
      <c r="C49" s="9">
        <v>45712</v>
      </c>
      <c r="D49" s="9" t="s">
        <v>10</v>
      </c>
      <c r="E49" s="707">
        <v>2.5499999999999998E-2</v>
      </c>
      <c r="F49" s="9">
        <v>45712</v>
      </c>
      <c r="G49" s="9" t="s">
        <v>10</v>
      </c>
      <c r="H49" s="9">
        <v>55185</v>
      </c>
      <c r="I49" s="20">
        <f>B49/B32</f>
        <v>0.50689655172413794</v>
      </c>
    </row>
    <row r="50" spans="1:15">
      <c r="A50" s="4" t="s">
        <v>438</v>
      </c>
      <c r="B50" s="13">
        <f>SUM(B48:B49)</f>
        <v>1092000</v>
      </c>
      <c r="C50" s="1"/>
      <c r="D50" s="1"/>
      <c r="E50" s="705">
        <f>SUMPRODUCT(B48:B49,E48:E49)/B50</f>
        <v>3.0692307692307685E-2</v>
      </c>
      <c r="F50" s="1"/>
      <c r="G50" s="1"/>
      <c r="H50" s="1"/>
      <c r="I50" s="1"/>
      <c r="J50" s="1"/>
      <c r="K50" s="1"/>
      <c r="L50" s="1"/>
      <c r="M50" s="1"/>
      <c r="N50" s="1"/>
      <c r="O50" s="1"/>
    </row>
    <row r="51" spans="1:15">
      <c r="A51" s="4" t="s">
        <v>624</v>
      </c>
      <c r="B51" s="487">
        <f>+SUM(B20:B21)*50%</f>
        <v>125000</v>
      </c>
      <c r="C51" s="9"/>
      <c r="D51" s="9"/>
      <c r="E51" s="707">
        <v>6.5000000000000002E-2</v>
      </c>
      <c r="F51" s="14"/>
      <c r="G51" s="9"/>
      <c r="H51" s="9"/>
    </row>
    <row r="52" spans="1:15">
      <c r="A52" s="5" t="str">
        <f>+A20</f>
        <v>Private Equity Fund 1</v>
      </c>
      <c r="B52" s="10">
        <v>0</v>
      </c>
      <c r="C52" s="9"/>
      <c r="D52" s="9"/>
      <c r="E52" s="707">
        <v>0</v>
      </c>
      <c r="F52" s="14"/>
      <c r="G52" s="9"/>
      <c r="H52" s="9"/>
    </row>
    <row r="53" spans="1:15">
      <c r="A53" s="5" t="str">
        <f>+A21</f>
        <v>Private Equity Fund 2</v>
      </c>
      <c r="B53" s="10">
        <v>50000</v>
      </c>
      <c r="C53" s="9"/>
      <c r="D53" s="9"/>
      <c r="E53" s="707">
        <v>0</v>
      </c>
      <c r="F53" s="14"/>
      <c r="G53" s="9"/>
      <c r="H53" s="9"/>
    </row>
    <row r="54" spans="1:15">
      <c r="A54" s="4" t="s">
        <v>574</v>
      </c>
      <c r="B54" s="13">
        <f>SUM(B52:B53)</f>
        <v>50000</v>
      </c>
      <c r="C54" s="31"/>
      <c r="D54" s="31"/>
      <c r="E54" s="705">
        <f>SUMPRODUCT(E52:E53,B52:B53)/B54</f>
        <v>0</v>
      </c>
      <c r="F54" s="31"/>
      <c r="G54" s="31"/>
      <c r="H54" s="31"/>
    </row>
    <row r="55" spans="1:15">
      <c r="A55" s="23" t="s">
        <v>30</v>
      </c>
      <c r="B55" s="29">
        <f>B50+B43+B51+B47+B54</f>
        <v>1348166.03</v>
      </c>
      <c r="C55" s="23"/>
      <c r="D55" s="23"/>
      <c r="E55" s="709">
        <f>+(B43*E43+B47*E47+B50*E50+B54*E54)/B55</f>
        <v>2.7095549944987113E-2</v>
      </c>
      <c r="F55" s="23"/>
      <c r="G55" s="23"/>
      <c r="H55" s="23"/>
      <c r="I55" s="23"/>
      <c r="J55" s="23"/>
      <c r="K55" s="23"/>
      <c r="L55" s="23"/>
      <c r="M55" s="23"/>
      <c r="N55" s="23"/>
      <c r="O55" s="23"/>
    </row>
    <row r="56" spans="1:15">
      <c r="A56" s="23" t="s">
        <v>2</v>
      </c>
      <c r="B56" s="29">
        <f>B37-B55</f>
        <v>4648383.97</v>
      </c>
      <c r="C56" s="23"/>
      <c r="D56" s="23"/>
      <c r="E56" s="708"/>
      <c r="F56" s="23"/>
      <c r="G56" s="23"/>
      <c r="H56" s="23"/>
      <c r="I56" s="23"/>
      <c r="J56" s="23"/>
      <c r="K56" s="23"/>
      <c r="L56" s="23"/>
      <c r="M56" s="23"/>
      <c r="N56" s="23"/>
      <c r="O56" s="23"/>
    </row>
    <row r="57" spans="1:15">
      <c r="B57" s="37"/>
    </row>
  </sheetData>
  <conditionalFormatting sqref="C48:C49 F48:F49">
    <cfRule type="cellIs" dxfId="12" priority="1" operator="equal">
      <formula>$B$3</formula>
    </cfRule>
  </conditionalFormatting>
  <conditionalFormatting sqref="C51:C54">
    <cfRule type="cellIs" dxfId="11" priority="2" operator="equal">
      <formula>$B$3</formula>
    </cfRule>
  </conditionalFormatting>
  <conditionalFormatting sqref="F7">
    <cfRule type="cellIs" dxfId="10" priority="23" operator="equal">
      <formula>$B$3</formula>
    </cfRule>
  </conditionalFormatting>
  <conditionalFormatting sqref="F10:F12 K31:K32 C34:C35 C40:C43">
    <cfRule type="cellIs" dxfId="9" priority="7" operator="equal">
      <formula>$B$3</formula>
    </cfRule>
  </conditionalFormatting>
  <conditionalFormatting sqref="F51:F54">
    <cfRule type="cellIs" dxfId="8" priority="10" operator="equal">
      <formula>$B$3</formula>
    </cfRule>
  </conditionalFormatting>
  <conditionalFormatting sqref="G40:G43">
    <cfRule type="cellIs" dxfId="7" priority="8" operator="equal">
      <formula>$B$3</formula>
    </cfRule>
  </conditionalFormatting>
  <pageMargins left="0.1" right="0.1" top="0.1" bottom="0.1" header="0.3" footer="0.3"/>
  <pageSetup scale="71" fitToHeight="0" orientation="landscape" r:id="rId1"/>
  <colBreaks count="1" manualBreakCount="1">
    <brk id="14" max="52" man="1"/>
  </colBreaks>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CA70-DB75-4501-A201-CAE91BEA6124}">
  <sheetPr>
    <pageSetUpPr fitToPage="1"/>
  </sheetPr>
  <dimension ref="A1:CD161"/>
  <sheetViews>
    <sheetView showGridLines="0" view="pageBreakPreview" topLeftCell="A2" zoomScale="70" zoomScaleNormal="100" zoomScaleSheetLayoutView="70" workbookViewId="0">
      <pane xSplit="3" ySplit="4" topLeftCell="D39" activePane="bottomRight" state="frozen"/>
      <selection activeCell="A2" sqref="A2"/>
      <selection pane="topRight" activeCell="D2" sqref="D2"/>
      <selection pane="bottomLeft" activeCell="A6" sqref="A6"/>
      <selection pane="bottomRight" activeCell="A69" sqref="A69"/>
    </sheetView>
  </sheetViews>
  <sheetFormatPr defaultRowHeight="14.5" outlineLevelCol="1"/>
  <cols>
    <col min="1" max="1" width="30.453125" bestFit="1" customWidth="1"/>
    <col min="2" max="3" width="20.453125" customWidth="1"/>
    <col min="4" max="16" width="12.1796875" customWidth="1" outlineLevel="1"/>
    <col min="17" max="17" width="12.1796875" customWidth="1"/>
    <col min="18" max="18" width="8" customWidth="1"/>
    <col min="19" max="28" width="12.1796875" customWidth="1"/>
    <col min="29" max="49" width="12.1796875" customWidth="1" outlineLevel="1"/>
    <col min="50" max="50" width="11.81640625" bestFit="1" customWidth="1"/>
    <col min="51" max="51" width="10.81640625" bestFit="1" customWidth="1"/>
    <col min="52" max="52" width="15.81640625" customWidth="1"/>
    <col min="53" max="53" width="12.7265625" bestFit="1" customWidth="1"/>
    <col min="54" max="54" width="9.1796875" customWidth="1"/>
    <col min="56" max="68" width="11.81640625" customWidth="1"/>
    <col min="69" max="69" width="4.81640625" customWidth="1"/>
    <col min="70" max="82" width="11.81640625" customWidth="1"/>
  </cols>
  <sheetData>
    <row r="1" spans="1:59" s="75" customFormat="1" ht="16.5" customHeight="1">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C1" s="126"/>
      <c r="BD1" s="126"/>
      <c r="BE1" s="126"/>
      <c r="BF1" s="126"/>
      <c r="BG1" s="126"/>
    </row>
    <row r="2" spans="1:59" s="93" customFormat="1" ht="25">
      <c r="A2" s="131" t="s">
        <v>457</v>
      </c>
      <c r="B2" s="131"/>
      <c r="C2" s="131"/>
      <c r="D2" s="131"/>
      <c r="E2" s="131"/>
      <c r="F2" s="131"/>
      <c r="G2" s="131"/>
      <c r="H2" s="131"/>
      <c r="I2" s="131"/>
      <c r="J2" s="131"/>
      <c r="K2" s="132"/>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3"/>
      <c r="BB2" s="127"/>
      <c r="BC2" s="126"/>
      <c r="BD2" s="126"/>
      <c r="BE2" s="126"/>
      <c r="BF2" s="126"/>
      <c r="BG2" s="126"/>
    </row>
    <row r="3" spans="1:59">
      <c r="D3" s="173" t="s">
        <v>418</v>
      </c>
      <c r="E3" s="173" t="s">
        <v>154</v>
      </c>
      <c r="F3" s="173"/>
      <c r="G3" s="173"/>
      <c r="H3" s="173"/>
      <c r="I3" s="173"/>
      <c r="J3" s="173"/>
      <c r="K3" s="173"/>
      <c r="L3" s="173"/>
      <c r="M3" s="173"/>
      <c r="N3" s="173"/>
      <c r="O3" s="173"/>
      <c r="P3" s="173"/>
    </row>
    <row r="4" spans="1:59">
      <c r="B4" s="48" t="s">
        <v>61</v>
      </c>
      <c r="C4" s="48"/>
      <c r="D4" s="177">
        <v>2024</v>
      </c>
      <c r="E4" s="173">
        <v>2025</v>
      </c>
      <c r="F4" s="173"/>
      <c r="G4" s="173"/>
      <c r="H4" s="173"/>
      <c r="I4" s="173"/>
      <c r="J4" s="173"/>
      <c r="K4" s="173"/>
      <c r="L4" s="173"/>
      <c r="M4" s="173"/>
      <c r="N4" s="173"/>
      <c r="O4" s="173"/>
      <c r="P4" s="173"/>
      <c r="Q4" s="1"/>
      <c r="S4">
        <v>1</v>
      </c>
      <c r="T4">
        <f>+S4+T5-S5</f>
        <v>2</v>
      </c>
      <c r="U4">
        <f t="shared" ref="U4:AC4" si="0">+T4+U5-T5</f>
        <v>3</v>
      </c>
      <c r="V4">
        <f t="shared" si="0"/>
        <v>4</v>
      </c>
      <c r="W4">
        <f t="shared" si="0"/>
        <v>5</v>
      </c>
      <c r="X4">
        <f t="shared" si="0"/>
        <v>6</v>
      </c>
      <c r="Y4">
        <f t="shared" si="0"/>
        <v>7</v>
      </c>
      <c r="Z4">
        <f t="shared" si="0"/>
        <v>8</v>
      </c>
      <c r="AA4">
        <f t="shared" si="0"/>
        <v>9</v>
      </c>
      <c r="AB4">
        <f t="shared" si="0"/>
        <v>10</v>
      </c>
      <c r="AC4">
        <f t="shared" si="0"/>
        <v>11</v>
      </c>
      <c r="AD4">
        <f t="shared" ref="AD4" si="1">+AC4+AD5-AC5</f>
        <v>12</v>
      </c>
      <c r="AE4">
        <f t="shared" ref="AE4" si="2">+AD4+AE5-AD5</f>
        <v>13</v>
      </c>
      <c r="AF4">
        <f t="shared" ref="AF4" si="3">+AE4+AF5-AE5</f>
        <v>14</v>
      </c>
      <c r="AG4">
        <f t="shared" ref="AG4" si="4">+AF4+AG5-AF5</f>
        <v>15</v>
      </c>
      <c r="AH4">
        <f t="shared" ref="AH4" si="5">+AG4+AH5-AG5</f>
        <v>16</v>
      </c>
      <c r="AI4">
        <f t="shared" ref="AI4" si="6">+AH4+AI5-AH5</f>
        <v>17</v>
      </c>
      <c r="AJ4">
        <f t="shared" ref="AJ4" si="7">+AI4+AJ5-AI5</f>
        <v>18</v>
      </c>
      <c r="AK4">
        <f t="shared" ref="AK4" si="8">+AJ4+AK5-AJ5</f>
        <v>19</v>
      </c>
      <c r="AL4">
        <f t="shared" ref="AL4" si="9">+AK4+AL5-AK5</f>
        <v>20</v>
      </c>
      <c r="AM4">
        <f t="shared" ref="AM4" si="10">+AL4+AM5-AL5</f>
        <v>21</v>
      </c>
      <c r="AN4">
        <f t="shared" ref="AN4" si="11">+AM4+AN5-AM5</f>
        <v>22</v>
      </c>
      <c r="AO4">
        <f t="shared" ref="AO4" si="12">+AN4+AO5-AN5</f>
        <v>23</v>
      </c>
      <c r="AP4">
        <f t="shared" ref="AP4" si="13">+AO4+AP5-AO5</f>
        <v>24</v>
      </c>
      <c r="AQ4">
        <f t="shared" ref="AQ4" si="14">+AP4+AQ5-AP5</f>
        <v>25</v>
      </c>
      <c r="AR4">
        <f t="shared" ref="AR4" si="15">+AQ4+AR5-AQ5</f>
        <v>26</v>
      </c>
      <c r="AS4">
        <f t="shared" ref="AS4" si="16">+AR4+AS5-AR5</f>
        <v>27</v>
      </c>
      <c r="AT4">
        <f t="shared" ref="AT4" si="17">+AS4+AT5-AS5</f>
        <v>28</v>
      </c>
      <c r="AU4">
        <f t="shared" ref="AU4" si="18">+AT4+AU5-AT5</f>
        <v>29</v>
      </c>
      <c r="AV4">
        <f t="shared" ref="AV4" si="19">+AU4+AV5-AU5</f>
        <v>30</v>
      </c>
    </row>
    <row r="5" spans="1:59" ht="29">
      <c r="A5" s="44"/>
      <c r="B5" s="49">
        <v>1</v>
      </c>
      <c r="C5" s="49">
        <v>2</v>
      </c>
      <c r="D5" s="201" t="s">
        <v>418</v>
      </c>
      <c r="E5" s="49" t="s">
        <v>407</v>
      </c>
      <c r="F5" s="49" t="s">
        <v>408</v>
      </c>
      <c r="G5" s="49" t="s">
        <v>409</v>
      </c>
      <c r="H5" s="49" t="s">
        <v>410</v>
      </c>
      <c r="I5" s="49" t="s">
        <v>411</v>
      </c>
      <c r="J5" s="49" t="s">
        <v>412</v>
      </c>
      <c r="K5" s="49" t="s">
        <v>413</v>
      </c>
      <c r="L5" s="49" t="s">
        <v>414</v>
      </c>
      <c r="M5" s="49" t="s">
        <v>415</v>
      </c>
      <c r="N5" s="49" t="s">
        <v>416</v>
      </c>
      <c r="O5" s="49" t="s">
        <v>417</v>
      </c>
      <c r="P5" s="49" t="s">
        <v>418</v>
      </c>
      <c r="Q5" s="176" t="s">
        <v>154</v>
      </c>
      <c r="S5">
        <v>2026</v>
      </c>
      <c r="T5">
        <f>+S5+1</f>
        <v>2027</v>
      </c>
      <c r="U5">
        <f t="shared" ref="U5:AC5" si="20">+T5+1</f>
        <v>2028</v>
      </c>
      <c r="V5">
        <f t="shared" si="20"/>
        <v>2029</v>
      </c>
      <c r="W5">
        <f t="shared" si="20"/>
        <v>2030</v>
      </c>
      <c r="X5">
        <f t="shared" si="20"/>
        <v>2031</v>
      </c>
      <c r="Y5">
        <f t="shared" si="20"/>
        <v>2032</v>
      </c>
      <c r="Z5">
        <f t="shared" si="20"/>
        <v>2033</v>
      </c>
      <c r="AA5">
        <f t="shared" si="20"/>
        <v>2034</v>
      </c>
      <c r="AB5">
        <f t="shared" si="20"/>
        <v>2035</v>
      </c>
      <c r="AC5">
        <f t="shared" si="20"/>
        <v>2036</v>
      </c>
      <c r="AD5">
        <f t="shared" ref="AD5:AS5" si="21">+AC5+1</f>
        <v>2037</v>
      </c>
      <c r="AE5">
        <f t="shared" si="21"/>
        <v>2038</v>
      </c>
      <c r="AF5">
        <f t="shared" si="21"/>
        <v>2039</v>
      </c>
      <c r="AG5">
        <f t="shared" si="21"/>
        <v>2040</v>
      </c>
      <c r="AH5">
        <f t="shared" si="21"/>
        <v>2041</v>
      </c>
      <c r="AI5">
        <f t="shared" si="21"/>
        <v>2042</v>
      </c>
      <c r="AJ5">
        <f t="shared" si="21"/>
        <v>2043</v>
      </c>
      <c r="AK5">
        <f t="shared" si="21"/>
        <v>2044</v>
      </c>
      <c r="AL5">
        <f t="shared" si="21"/>
        <v>2045</v>
      </c>
      <c r="AM5">
        <f t="shared" si="21"/>
        <v>2046</v>
      </c>
      <c r="AN5">
        <f t="shared" si="21"/>
        <v>2047</v>
      </c>
      <c r="AO5">
        <f t="shared" si="21"/>
        <v>2048</v>
      </c>
      <c r="AP5">
        <f t="shared" si="21"/>
        <v>2049</v>
      </c>
      <c r="AQ5">
        <f t="shared" si="21"/>
        <v>2050</v>
      </c>
      <c r="AR5">
        <f t="shared" si="21"/>
        <v>2051</v>
      </c>
      <c r="AS5">
        <f t="shared" si="21"/>
        <v>2052</v>
      </c>
      <c r="AT5">
        <f t="shared" ref="AT5:AV5" si="22">+AS5+1</f>
        <v>2053</v>
      </c>
      <c r="AU5">
        <f t="shared" si="22"/>
        <v>2054</v>
      </c>
      <c r="AV5">
        <f t="shared" si="22"/>
        <v>2055</v>
      </c>
      <c r="AX5" s="30" t="s">
        <v>286</v>
      </c>
      <c r="BB5" s="30" t="s">
        <v>480</v>
      </c>
    </row>
    <row r="6" spans="1:59">
      <c r="A6" t="s">
        <v>76</v>
      </c>
      <c r="B6" s="30"/>
      <c r="C6" s="30"/>
      <c r="D6" s="52">
        <f>+AX6/12*(1-$BB$14)</f>
        <v>13302.495704467356</v>
      </c>
      <c r="E6" s="52">
        <f>+D6</f>
        <v>13302.495704467356</v>
      </c>
      <c r="F6" s="52">
        <f t="shared" ref="F6:P6" si="23">+E6</f>
        <v>13302.495704467356</v>
      </c>
      <c r="G6" s="52">
        <f t="shared" si="23"/>
        <v>13302.495704467356</v>
      </c>
      <c r="H6" s="52">
        <f t="shared" si="23"/>
        <v>13302.495704467356</v>
      </c>
      <c r="I6" s="52">
        <f t="shared" si="23"/>
        <v>13302.495704467356</v>
      </c>
      <c r="J6" s="52">
        <f t="shared" si="23"/>
        <v>13302.495704467356</v>
      </c>
      <c r="K6" s="52">
        <f t="shared" si="23"/>
        <v>13302.495704467356</v>
      </c>
      <c r="L6" s="52">
        <f t="shared" si="23"/>
        <v>13302.495704467356</v>
      </c>
      <c r="M6" s="52">
        <f t="shared" si="23"/>
        <v>13302.495704467356</v>
      </c>
      <c r="N6" s="52">
        <f t="shared" si="23"/>
        <v>13302.495704467356</v>
      </c>
      <c r="O6" s="52">
        <f t="shared" si="23"/>
        <v>13302.495704467356</v>
      </c>
      <c r="P6" s="52">
        <f t="shared" si="23"/>
        <v>13302.495704467356</v>
      </c>
      <c r="Q6" s="47">
        <f t="shared" ref="Q6:Q56" si="24">SUM(E6:P6)</f>
        <v>159629.94845360823</v>
      </c>
      <c r="AX6" s="10">
        <v>350000</v>
      </c>
      <c r="AY6" t="s">
        <v>460</v>
      </c>
      <c r="BB6" s="599">
        <v>0.04</v>
      </c>
      <c r="BC6" s="600" t="s">
        <v>481</v>
      </c>
      <c r="BD6" s="600"/>
    </row>
    <row r="7" spans="1:59">
      <c r="A7" t="s">
        <v>75</v>
      </c>
      <c r="B7" s="30"/>
      <c r="C7" s="30"/>
      <c r="D7" s="52">
        <f>+AX7*(1-$BB$14)</f>
        <v>191555.93814432991</v>
      </c>
      <c r="E7" s="52"/>
      <c r="F7" s="52"/>
      <c r="G7" s="52"/>
      <c r="H7" s="52"/>
      <c r="I7" s="52"/>
      <c r="J7" s="52"/>
      <c r="K7" s="52"/>
      <c r="L7" s="52"/>
      <c r="M7" s="52"/>
      <c r="N7" s="52"/>
      <c r="O7" s="52"/>
      <c r="P7" s="52">
        <f>+D7</f>
        <v>191555.93814432991</v>
      </c>
      <c r="Q7" s="47">
        <f t="shared" si="24"/>
        <v>191555.93814432991</v>
      </c>
      <c r="S7" s="7">
        <f>+Q7*(1+$S$11)</f>
        <v>201133.73505154642</v>
      </c>
      <c r="T7" s="7">
        <f>+S7*(1+$T$11)</f>
        <v>211190.42180412376</v>
      </c>
      <c r="U7" s="7">
        <f t="shared" ref="U7:AB9" si="25">+T7*(1+$T$11)</f>
        <v>221749.94289432996</v>
      </c>
      <c r="V7" s="7">
        <f t="shared" si="25"/>
        <v>232837.44003904646</v>
      </c>
      <c r="W7" s="7">
        <f t="shared" si="25"/>
        <v>244479.3120409988</v>
      </c>
      <c r="X7" s="7">
        <f t="shared" si="25"/>
        <v>256703.27764304876</v>
      </c>
      <c r="Y7" s="7">
        <f t="shared" si="25"/>
        <v>269538.4415252012</v>
      </c>
      <c r="Z7" s="7">
        <f t="shared" si="25"/>
        <v>283015.36360146129</v>
      </c>
      <c r="AA7" s="7">
        <f t="shared" si="25"/>
        <v>297166.13178153435</v>
      </c>
      <c r="AB7" s="7">
        <f t="shared" si="25"/>
        <v>312024.43837061105</v>
      </c>
      <c r="AC7" s="7">
        <f t="shared" ref="AC7" si="26">+AB7*(1+$T$11)</f>
        <v>327625.66028914164</v>
      </c>
      <c r="AD7" s="7">
        <f t="shared" ref="AD7" si="27">+AC7*(1+$T$11)</f>
        <v>344006.94330359873</v>
      </c>
      <c r="AE7" s="7">
        <f t="shared" ref="AE7" si="28">+AD7*(1+$T$11)</f>
        <v>361207.29046877869</v>
      </c>
      <c r="AF7" s="7">
        <f t="shared" ref="AF7" si="29">+AE7*(1+$T$11)</f>
        <v>379267.65499221766</v>
      </c>
      <c r="AG7" s="7">
        <f t="shared" ref="AG7" si="30">+AF7*(1+$T$11)</f>
        <v>398231.03774182854</v>
      </c>
      <c r="AH7" s="7">
        <f t="shared" ref="AH7" si="31">+AG7*(1+$T$11)</f>
        <v>418142.58962891996</v>
      </c>
      <c r="AI7" s="7">
        <f t="shared" ref="AI7" si="32">+AH7*(1+$T$11)</f>
        <v>439049.71911036596</v>
      </c>
      <c r="AJ7" s="7">
        <f t="shared" ref="AJ7" si="33">+AI7*(1+$T$11)</f>
        <v>461002.20506588428</v>
      </c>
      <c r="AK7" s="7">
        <f t="shared" ref="AK7" si="34">+AJ7*(1+$T$11)</f>
        <v>484052.31531917851</v>
      </c>
      <c r="AL7" s="7">
        <f t="shared" ref="AL7" si="35">+AK7*(1+$T$11)</f>
        <v>508254.93108513748</v>
      </c>
      <c r="AX7" s="10">
        <f>+AX6*1.2</f>
        <v>420000</v>
      </c>
      <c r="AY7" t="s">
        <v>459</v>
      </c>
      <c r="BB7" s="599">
        <v>0.08</v>
      </c>
      <c r="BC7" s="600" t="s">
        <v>482</v>
      </c>
      <c r="BD7" s="600"/>
    </row>
    <row r="8" spans="1:59">
      <c r="A8" t="s">
        <v>77</v>
      </c>
      <c r="B8" s="30"/>
      <c r="C8" s="30"/>
      <c r="D8" s="52">
        <f>+AX8/12*(1-$BB$14)</f>
        <v>5511.0339347079043</v>
      </c>
      <c r="E8" s="52">
        <f>+D8</f>
        <v>5511.0339347079043</v>
      </c>
      <c r="F8" s="52">
        <f t="shared" ref="F8:P8" si="36">+E8</f>
        <v>5511.0339347079043</v>
      </c>
      <c r="G8" s="52">
        <f t="shared" si="36"/>
        <v>5511.0339347079043</v>
      </c>
      <c r="H8" s="52">
        <f t="shared" si="36"/>
        <v>5511.0339347079043</v>
      </c>
      <c r="I8" s="52">
        <f t="shared" si="36"/>
        <v>5511.0339347079043</v>
      </c>
      <c r="J8" s="52">
        <f t="shared" si="36"/>
        <v>5511.0339347079043</v>
      </c>
      <c r="K8" s="52">
        <f t="shared" si="36"/>
        <v>5511.0339347079043</v>
      </c>
      <c r="L8" s="52">
        <f t="shared" si="36"/>
        <v>5511.0339347079043</v>
      </c>
      <c r="M8" s="52">
        <f t="shared" si="36"/>
        <v>5511.0339347079043</v>
      </c>
      <c r="N8" s="52">
        <f t="shared" si="36"/>
        <v>5511.0339347079043</v>
      </c>
      <c r="O8" s="52">
        <f t="shared" si="36"/>
        <v>5511.0339347079043</v>
      </c>
      <c r="P8" s="52">
        <f t="shared" si="36"/>
        <v>5511.0339347079043</v>
      </c>
      <c r="Q8" s="47">
        <f t="shared" si="24"/>
        <v>66132.407216494859</v>
      </c>
      <c r="AX8" s="10">
        <v>145000</v>
      </c>
      <c r="AY8" t="s">
        <v>461</v>
      </c>
      <c r="BB8" s="602">
        <v>0.35</v>
      </c>
      <c r="BC8" s="603" t="s">
        <v>483</v>
      </c>
      <c r="BD8" s="603"/>
      <c r="BF8" s="11">
        <v>4.3499999999999997E-2</v>
      </c>
      <c r="BG8" s="11">
        <f>+BF8*(1-BB9)</f>
        <v>2.3054999999999999E-2</v>
      </c>
    </row>
    <row r="9" spans="1:59" ht="18" customHeight="1">
      <c r="A9" t="s">
        <v>78</v>
      </c>
      <c r="B9" s="30"/>
      <c r="C9" s="30"/>
      <c r="D9" s="52">
        <f>+AX9*(1-$BB$14)</f>
        <v>25084.706185567014</v>
      </c>
      <c r="E9" s="52"/>
      <c r="F9" s="52"/>
      <c r="G9" s="52"/>
      <c r="H9" s="52"/>
      <c r="I9" s="52"/>
      <c r="J9" s="52"/>
      <c r="K9" s="52"/>
      <c r="L9" s="52"/>
      <c r="M9" s="52"/>
      <c r="N9" s="52"/>
      <c r="O9" s="52"/>
      <c r="P9" s="52">
        <f>+D9</f>
        <v>25084.706185567014</v>
      </c>
      <c r="Q9" s="47">
        <f t="shared" si="24"/>
        <v>25084.706185567014</v>
      </c>
      <c r="S9" s="7">
        <f>+Q9*(1+$S$11)</f>
        <v>26338.941494845367</v>
      </c>
      <c r="T9" s="7">
        <f>+S9*(1+$T$11)</f>
        <v>27655.888569587638</v>
      </c>
      <c r="U9" s="7">
        <f t="shared" si="25"/>
        <v>29038.682998067023</v>
      </c>
      <c r="V9" s="7">
        <f t="shared" si="25"/>
        <v>30490.617147970373</v>
      </c>
      <c r="W9" s="7">
        <f t="shared" si="25"/>
        <v>32015.148005368894</v>
      </c>
      <c r="X9" s="7">
        <f t="shared" si="25"/>
        <v>33615.905405637342</v>
      </c>
      <c r="Y9" s="7">
        <f t="shared" si="25"/>
        <v>35296.700675919208</v>
      </c>
      <c r="Z9" s="7">
        <f t="shared" si="25"/>
        <v>37061.535709715172</v>
      </c>
      <c r="AA9" s="7">
        <f t="shared" si="25"/>
        <v>38914.612495200934</v>
      </c>
      <c r="AB9" s="7">
        <f t="shared" si="25"/>
        <v>40860.343119960984</v>
      </c>
      <c r="AC9" s="7">
        <f t="shared" ref="AC9" si="37">+AB9*(1+$T$11)</f>
        <v>42903.360275959036</v>
      </c>
      <c r="AD9" s="7">
        <f t="shared" ref="AD9" si="38">+AC9*(1+$T$11)</f>
        <v>45048.528289756992</v>
      </c>
      <c r="AE9" s="7">
        <f t="shared" ref="AE9" si="39">+AD9*(1+$T$11)</f>
        <v>47300.954704244847</v>
      </c>
      <c r="AF9" s="7">
        <f t="shared" ref="AF9" si="40">+AE9*(1+$T$11)</f>
        <v>49666.002439457094</v>
      </c>
      <c r="AG9" s="7">
        <f t="shared" ref="AG9" si="41">+AF9*(1+$T$11)</f>
        <v>52149.302561429948</v>
      </c>
      <c r="AH9" s="7">
        <f t="shared" ref="AH9" si="42">+AG9*(1+$T$11)</f>
        <v>54756.767689501445</v>
      </c>
      <c r="AI9" s="7">
        <f t="shared" ref="AI9" si="43">+AH9*(1+$T$11)</f>
        <v>57494.606073976516</v>
      </c>
      <c r="AJ9" s="7">
        <f t="shared" ref="AJ9" si="44">+AI9*(1+$T$11)</f>
        <v>60369.336377675347</v>
      </c>
      <c r="AK9" s="7">
        <f t="shared" ref="AK9" si="45">+AJ9*(1+$T$11)</f>
        <v>63387.803196559114</v>
      </c>
      <c r="AL9" s="7">
        <f t="shared" ref="AL9" si="46">+AK9*(1+$T$11)</f>
        <v>66557.19335638707</v>
      </c>
      <c r="AX9" s="597">
        <v>55000</v>
      </c>
      <c r="AY9" t="s">
        <v>462</v>
      </c>
      <c r="AZ9" s="165"/>
      <c r="BB9" s="601">
        <f>SUM(BB6:BB8)</f>
        <v>0.47</v>
      </c>
      <c r="BC9" s="600" t="s">
        <v>484</v>
      </c>
      <c r="BD9" s="600"/>
      <c r="BF9" s="11">
        <v>4.1099999999999998E-2</v>
      </c>
      <c r="BG9" s="11">
        <f>BF9*(1-BB8)</f>
        <v>2.6714999999999999E-2</v>
      </c>
    </row>
    <row r="10" spans="1:59">
      <c r="A10" s="41" t="s">
        <v>161</v>
      </c>
      <c r="B10" s="42"/>
      <c r="C10" s="42"/>
      <c r="D10" s="178">
        <f>+SUM(D6:D9)</f>
        <v>235454.17396907217</v>
      </c>
      <c r="E10" s="63">
        <f t="shared" ref="E10:O10" si="47">+SUM(E6:E9)</f>
        <v>18813.52963917526</v>
      </c>
      <c r="F10" s="63">
        <f t="shared" si="47"/>
        <v>18813.52963917526</v>
      </c>
      <c r="G10" s="63">
        <f t="shared" si="47"/>
        <v>18813.52963917526</v>
      </c>
      <c r="H10" s="63">
        <f t="shared" si="47"/>
        <v>18813.52963917526</v>
      </c>
      <c r="I10" s="63">
        <f t="shared" si="47"/>
        <v>18813.52963917526</v>
      </c>
      <c r="J10" s="63">
        <f t="shared" si="47"/>
        <v>18813.52963917526</v>
      </c>
      <c r="K10" s="63">
        <f t="shared" si="47"/>
        <v>18813.52963917526</v>
      </c>
      <c r="L10" s="63">
        <f t="shared" si="47"/>
        <v>18813.52963917526</v>
      </c>
      <c r="M10" s="63">
        <f t="shared" si="47"/>
        <v>18813.52963917526</v>
      </c>
      <c r="N10" s="63">
        <f t="shared" si="47"/>
        <v>18813.52963917526</v>
      </c>
      <c r="O10" s="63">
        <f t="shared" si="47"/>
        <v>18813.52963917526</v>
      </c>
      <c r="P10" s="63">
        <f>+SUM(P6:P9)</f>
        <v>235454.17396907217</v>
      </c>
      <c r="Q10" s="64">
        <f t="shared" si="24"/>
        <v>442403</v>
      </c>
      <c r="S10" s="56">
        <f>+Q10*(1+S11)</f>
        <v>464523.15</v>
      </c>
      <c r="T10" s="56">
        <f>+S10*(1+T11)</f>
        <v>487749.30750000005</v>
      </c>
      <c r="U10" s="56">
        <f t="shared" ref="U10" si="48">+T10*(1+U11)</f>
        <v>512136.77287500008</v>
      </c>
      <c r="V10" s="56">
        <f t="shared" ref="V10" si="49">+U10*(1+V11)</f>
        <v>537743.61151875008</v>
      </c>
      <c r="W10" s="56">
        <f t="shared" ref="W10" si="50">+V10*(1+W11)</f>
        <v>564630.79209468758</v>
      </c>
      <c r="X10" s="56">
        <f t="shared" ref="X10" si="51">+W10*(1+X11)</f>
        <v>592862.33169942198</v>
      </c>
      <c r="Y10" s="56">
        <f t="shared" ref="Y10" si="52">+X10*(1+Y11)</f>
        <v>622505.44828439306</v>
      </c>
      <c r="Z10" s="56">
        <f t="shared" ref="Z10" si="53">+Y10*(1+Z11)</f>
        <v>653630.72069861274</v>
      </c>
      <c r="AA10" s="56">
        <f t="shared" ref="AA10" si="54">+Z10*(1+AA11)</f>
        <v>686312.25673354336</v>
      </c>
      <c r="AB10" s="56">
        <f t="shared" ref="AB10" si="55">+AA10*(1+AB11)</f>
        <v>720627.86957022059</v>
      </c>
      <c r="AC10" s="56">
        <f t="shared" ref="AC10" si="56">+AB10*(1+AC11)</f>
        <v>756659.26304873161</v>
      </c>
      <c r="AD10" s="56">
        <f t="shared" ref="AD10" si="57">+AC10*(1+AD11)</f>
        <v>794492.22620116826</v>
      </c>
      <c r="AE10" s="56">
        <f t="shared" ref="AE10" si="58">+AD10*(1+AE11)</f>
        <v>834216.83751122677</v>
      </c>
      <c r="AF10" s="56">
        <f t="shared" ref="AF10" si="59">+AE10*(1+AF11)</f>
        <v>875927.67938678816</v>
      </c>
      <c r="AG10" s="56">
        <f t="shared" ref="AG10" si="60">+AF10*(1+AG11)</f>
        <v>919724.06335612759</v>
      </c>
      <c r="AH10" s="56">
        <f t="shared" ref="AH10" si="61">+AG10*(1+AH11)</f>
        <v>965710.26652393397</v>
      </c>
      <c r="AI10" s="56">
        <f t="shared" ref="AI10" si="62">+AH10*(1+AI11)</f>
        <v>1013995.7798501307</v>
      </c>
      <c r="AJ10" s="56">
        <f t="shared" ref="AJ10" si="63">+AI10*(1+AJ11)</f>
        <v>1064695.5688426374</v>
      </c>
      <c r="AK10" s="56">
        <f t="shared" ref="AK10" si="64">+AJ10*(1+AK11)</f>
        <v>1117930.3472847692</v>
      </c>
      <c r="AL10" s="56">
        <f t="shared" ref="AL10" si="65">+AK10*(1+AL11)</f>
        <v>1173826.8646490078</v>
      </c>
      <c r="AX10" s="7">
        <f>SUM(AX6:AX9)</f>
        <v>970000</v>
      </c>
      <c r="AY10" t="s">
        <v>485</v>
      </c>
      <c r="BB10" s="598">
        <f>9932/AX10</f>
        <v>1.0239175257731959E-2</v>
      </c>
      <c r="BC10" t="s">
        <v>490</v>
      </c>
    </row>
    <row r="11" spans="1:59">
      <c r="A11" s="3" t="s">
        <v>257</v>
      </c>
      <c r="B11" s="30"/>
      <c r="C11" s="30"/>
      <c r="D11" s="573">
        <f>+'Balance Sheet'!B9*'Balance Sheet'!E9/12*(1-BB9)</f>
        <v>0.55318750000000005</v>
      </c>
      <c r="E11" s="59">
        <f>E86</f>
        <v>8.7719995465732628E-2</v>
      </c>
      <c r="F11" s="59">
        <f t="shared" ref="F11:P11" si="66">F86</f>
        <v>8.7720179205244164E-2</v>
      </c>
      <c r="G11" s="59">
        <f t="shared" si="66"/>
        <v>0.18197779942524284</v>
      </c>
      <c r="H11" s="59">
        <f t="shared" si="66"/>
        <v>0.19035645198918558</v>
      </c>
      <c r="I11" s="59">
        <f t="shared" si="66"/>
        <v>9.819346310227102E-2</v>
      </c>
      <c r="J11" s="59">
        <f t="shared" si="66"/>
        <v>0.13065978368760456</v>
      </c>
      <c r="K11" s="59">
        <f t="shared" si="66"/>
        <v>0.15998444464922032</v>
      </c>
      <c r="L11" s="59">
        <f t="shared" si="66"/>
        <v>0.11913953731122666</v>
      </c>
      <c r="M11" s="59">
        <f t="shared" si="66"/>
        <v>8.7720245017049558E-2</v>
      </c>
      <c r="N11" s="59">
        <f t="shared" si="66"/>
        <v>9.6098634336399202E-2</v>
      </c>
      <c r="O11" s="59">
        <f t="shared" si="66"/>
        <v>0.15360200027665008</v>
      </c>
      <c r="P11" s="59">
        <f t="shared" si="66"/>
        <v>0.18187972852674386</v>
      </c>
      <c r="Q11" s="58">
        <f t="shared" si="24"/>
        <v>1.5750522629925705</v>
      </c>
      <c r="S11" s="1008">
        <v>0.05</v>
      </c>
      <c r="T11" s="1008">
        <v>0.05</v>
      </c>
      <c r="U11" s="1008">
        <v>0.05</v>
      </c>
      <c r="V11" s="1008">
        <v>0.05</v>
      </c>
      <c r="W11" s="1008">
        <v>0.05</v>
      </c>
      <c r="X11" s="1008">
        <v>0.05</v>
      </c>
      <c r="Y11" s="1008">
        <v>0.05</v>
      </c>
      <c r="Z11" s="1008">
        <v>0.05</v>
      </c>
      <c r="AA11" s="1008">
        <v>0.05</v>
      </c>
      <c r="AB11" s="1008">
        <v>0.05</v>
      </c>
      <c r="AC11" s="1008">
        <v>0.05</v>
      </c>
      <c r="AD11" s="1008">
        <v>0.05</v>
      </c>
      <c r="AE11" s="1008">
        <v>0.05</v>
      </c>
      <c r="AF11" s="1008">
        <v>0.05</v>
      </c>
      <c r="AG11" s="1008">
        <v>0.05</v>
      </c>
      <c r="AH11" s="1008">
        <v>0.05</v>
      </c>
      <c r="AI11" s="1008">
        <v>0.05</v>
      </c>
      <c r="AJ11" s="1008">
        <v>0.05</v>
      </c>
      <c r="AK11" s="1008">
        <v>0.05</v>
      </c>
      <c r="AL11" s="1008">
        <v>0.05</v>
      </c>
      <c r="BB11" s="598">
        <v>2.4500000000000001E-2</v>
      </c>
      <c r="BC11" t="s">
        <v>486</v>
      </c>
    </row>
    <row r="12" spans="1:59">
      <c r="A12" s="3" t="s">
        <v>467</v>
      </c>
      <c r="B12" s="30"/>
      <c r="C12" s="30"/>
      <c r="D12" s="573">
        <f>+'Balance Sheet'!B13*'Balance Sheet'!E13/12*(1-BB9)</f>
        <v>387.76125000000002</v>
      </c>
      <c r="E12" s="59">
        <f>+E98</f>
        <v>278.50276447025323</v>
      </c>
      <c r="F12" s="59">
        <f t="shared" ref="F12:P12" si="67">+F98</f>
        <v>253.81978468432231</v>
      </c>
      <c r="G12" s="59">
        <f t="shared" si="67"/>
        <v>197.05337461543203</v>
      </c>
      <c r="H12" s="59">
        <f t="shared" si="67"/>
        <v>135.49652255415717</v>
      </c>
      <c r="I12" s="59">
        <f t="shared" si="67"/>
        <v>125.03808052011557</v>
      </c>
      <c r="J12" s="59">
        <f t="shared" si="67"/>
        <v>96.504139790994671</v>
      </c>
      <c r="K12" s="59">
        <f t="shared" si="67"/>
        <v>51.599502569847239</v>
      </c>
      <c r="L12" s="59">
        <f t="shared" si="67"/>
        <v>29.299721925252811</v>
      </c>
      <c r="M12" s="59">
        <f t="shared" si="67"/>
        <v>24.416737958620093</v>
      </c>
      <c r="N12" s="59">
        <f t="shared" si="67"/>
        <v>14.863963217482619</v>
      </c>
      <c r="O12" s="59">
        <f t="shared" si="67"/>
        <v>3.8822881033174399</v>
      </c>
      <c r="P12" s="59">
        <f t="shared" si="67"/>
        <v>150.68841713918917</v>
      </c>
      <c r="Q12" s="58">
        <f t="shared" si="24"/>
        <v>1361.1652975489849</v>
      </c>
      <c r="S12" s="59">
        <f ca="1">+S98</f>
        <v>3434.0332709131949</v>
      </c>
      <c r="T12" s="59">
        <f t="shared" ref="T12:AB12" ca="1" si="68">+T98</f>
        <v>3652.1897613575125</v>
      </c>
      <c r="U12" s="59">
        <f t="shared" ca="1" si="68"/>
        <v>3884.2052480806651</v>
      </c>
      <c r="V12" s="59">
        <f t="shared" ca="1" si="68"/>
        <v>4130.9601622697583</v>
      </c>
      <c r="W12" s="59">
        <f t="shared" ca="1" si="68"/>
        <v>4393.3908669456077</v>
      </c>
      <c r="X12" s="59">
        <f t="shared" ca="1" si="68"/>
        <v>4672.4932101876402</v>
      </c>
      <c r="Y12" s="59">
        <f t="shared" ca="1" si="68"/>
        <v>4969.3263040872735</v>
      </c>
      <c r="Z12" s="59">
        <f t="shared" ca="1" si="68"/>
        <v>5285.016543769786</v>
      </c>
      <c r="AA12" s="59">
        <f t="shared" ca="1" si="68"/>
        <v>5620.7618817357097</v>
      </c>
      <c r="AB12" s="59">
        <f t="shared" ca="1" si="68"/>
        <v>5977.8363737416021</v>
      </c>
      <c r="AC12" s="59">
        <f t="shared" ref="AC12:AL12" ca="1" si="69">+AC98</f>
        <v>6357.5950134705236</v>
      </c>
      <c r="AD12" s="59">
        <f t="shared" ca="1" si="69"/>
        <v>6761.4788743383597</v>
      </c>
      <c r="AE12" s="59">
        <f t="shared" ca="1" si="69"/>
        <v>7191.0205779476546</v>
      </c>
      <c r="AF12" s="59">
        <f t="shared" ca="1" si="69"/>
        <v>7647.8501099401492</v>
      </c>
      <c r="AG12" s="59">
        <f t="shared" ca="1" si="69"/>
        <v>8133.7010053174854</v>
      </c>
      <c r="AH12" s="59">
        <f t="shared" ca="1" si="69"/>
        <v>8650.4169267015604</v>
      </c>
      <c r="AI12" s="59">
        <f t="shared" ca="1" si="69"/>
        <v>9199.9586604971373</v>
      </c>
      <c r="AJ12" s="59">
        <f t="shared" ca="1" si="69"/>
        <v>9784.4115575050764</v>
      </c>
      <c r="AK12" s="59">
        <f t="shared" ca="1" si="69"/>
        <v>10405.993446221168</v>
      </c>
      <c r="AL12" s="59">
        <f t="shared" ca="1" si="69"/>
        <v>11067.063048849244</v>
      </c>
      <c r="BB12" s="598">
        <f>15000/AX10</f>
        <v>1.5463917525773196E-2</v>
      </c>
      <c r="BC12" t="s">
        <v>489</v>
      </c>
    </row>
    <row r="13" spans="1:59">
      <c r="A13" s="3" t="s">
        <v>502</v>
      </c>
      <c r="B13" s="30"/>
      <c r="C13" s="30"/>
      <c r="D13" s="186">
        <v>0</v>
      </c>
      <c r="E13" s="59">
        <f t="shared" ref="E13:O13" si="70">+E106</f>
        <v>0</v>
      </c>
      <c r="F13" s="59">
        <f t="shared" si="70"/>
        <v>0</v>
      </c>
      <c r="G13" s="59">
        <f t="shared" si="70"/>
        <v>0</v>
      </c>
      <c r="H13" s="59">
        <f t="shared" si="70"/>
        <v>0</v>
      </c>
      <c r="I13" s="59">
        <f t="shared" si="70"/>
        <v>0</v>
      </c>
      <c r="J13" s="59">
        <f t="shared" si="70"/>
        <v>0</v>
      </c>
      <c r="K13" s="59">
        <f t="shared" si="70"/>
        <v>0</v>
      </c>
      <c r="L13" s="59">
        <f t="shared" si="70"/>
        <v>0</v>
      </c>
      <c r="M13" s="59">
        <f t="shared" si="70"/>
        <v>0</v>
      </c>
      <c r="N13" s="59">
        <f t="shared" si="70"/>
        <v>0</v>
      </c>
      <c r="O13" s="59">
        <f t="shared" si="70"/>
        <v>0</v>
      </c>
      <c r="P13" s="59">
        <f ca="1">+P106</f>
        <v>5395.701008160604</v>
      </c>
      <c r="Q13" s="58">
        <f t="shared" ca="1" si="24"/>
        <v>5395.701008160604</v>
      </c>
      <c r="S13" s="59">
        <f ca="1">+S106</f>
        <v>5951.0267116002633</v>
      </c>
      <c r="T13" s="59">
        <f t="shared" ref="T13:AB13" ca="1" si="71">+T106</f>
        <v>7096.839601625049</v>
      </c>
      <c r="U13" s="59">
        <f t="shared" ca="1" si="71"/>
        <v>8314.7080065131249</v>
      </c>
      <c r="V13" s="59">
        <f t="shared" ca="1" si="71"/>
        <v>9608.1693171213738</v>
      </c>
      <c r="W13" s="59">
        <f t="shared" ca="1" si="71"/>
        <v>10980.907909142477</v>
      </c>
      <c r="X13" s="59">
        <f t="shared" ca="1" si="71"/>
        <v>12436.759935046628</v>
      </c>
      <c r="Y13" s="59">
        <f t="shared" ca="1" si="71"/>
        <v>13777.314952902309</v>
      </c>
      <c r="Z13" s="59">
        <f t="shared" ca="1" si="71"/>
        <v>14552.927176790839</v>
      </c>
      <c r="AA13" s="59">
        <f t="shared" ca="1" si="71"/>
        <v>14926.153969170216</v>
      </c>
      <c r="AB13" s="59">
        <f t="shared" ca="1" si="71"/>
        <v>15308.952598751899</v>
      </c>
      <c r="AC13" s="59">
        <f t="shared" ref="AC13:AL13" ca="1" si="72">+AC106</f>
        <v>15701.568545208916</v>
      </c>
      <c r="AD13" s="59">
        <f t="shared" ca="1" si="72"/>
        <v>16104.253586066938</v>
      </c>
      <c r="AE13" s="59">
        <f t="shared" ca="1" si="72"/>
        <v>16517.265953668259</v>
      </c>
      <c r="AF13" s="59">
        <f t="shared" ca="1" si="72"/>
        <v>16940.870504871047</v>
      </c>
      <c r="AG13" s="59">
        <f t="shared" ca="1" si="72"/>
        <v>17375.338888939092</v>
      </c>
      <c r="AH13" s="59">
        <f t="shared" ca="1" si="72"/>
        <v>17820.949721326706</v>
      </c>
      <c r="AI13" s="59">
        <f t="shared" ca="1" si="72"/>
        <v>18277.988763457568</v>
      </c>
      <c r="AJ13" s="59">
        <f t="shared" ca="1" si="72"/>
        <v>18746.749104553215</v>
      </c>
      <c r="AK13" s="59">
        <f t="shared" ca="1" si="72"/>
        <v>19227.531351378922</v>
      </c>
      <c r="AL13" s="59">
        <f t="shared" ca="1" si="72"/>
        <v>19720.64382006391</v>
      </c>
      <c r="BB13" s="598">
        <f>23000/AX10</f>
        <v>2.3711340206185566E-2</v>
      </c>
      <c r="BC13" t="s">
        <v>488</v>
      </c>
    </row>
    <row r="14" spans="1:59">
      <c r="A14" s="3" t="s">
        <v>469</v>
      </c>
      <c r="B14" s="30"/>
      <c r="C14" s="30"/>
      <c r="D14" s="573">
        <f>+E14</f>
        <v>0</v>
      </c>
      <c r="E14" s="59"/>
      <c r="F14" s="59"/>
      <c r="G14" s="59"/>
      <c r="H14" s="59"/>
      <c r="I14" s="59"/>
      <c r="J14" s="59"/>
      <c r="K14" s="59"/>
      <c r="L14" s="59"/>
      <c r="M14" s="59"/>
      <c r="N14" s="59"/>
      <c r="O14" s="59"/>
      <c r="P14" s="59"/>
      <c r="Q14" s="58">
        <f t="shared" si="24"/>
        <v>0</v>
      </c>
      <c r="S14" s="59"/>
      <c r="T14" s="59"/>
      <c r="U14" s="59"/>
      <c r="V14" s="59"/>
      <c r="W14" s="59"/>
      <c r="X14" s="59"/>
      <c r="Y14" s="59"/>
      <c r="Z14" s="59"/>
      <c r="AA14" s="59"/>
      <c r="AB14" s="59"/>
      <c r="AC14" s="59"/>
      <c r="AD14" s="59"/>
      <c r="AE14" s="59"/>
      <c r="AF14" s="59"/>
      <c r="AG14" s="59"/>
      <c r="AH14" s="59"/>
      <c r="AI14" s="59"/>
      <c r="AJ14" s="59"/>
      <c r="AK14" s="59"/>
      <c r="AL14" s="59"/>
      <c r="BB14" s="11">
        <f>SUM(BB9:BB13)</f>
        <v>0.54391443298969067</v>
      </c>
      <c r="BC14" t="s">
        <v>487</v>
      </c>
    </row>
    <row r="15" spans="1:59" s="1" customFormat="1">
      <c r="A15" s="41" t="s">
        <v>503</v>
      </c>
      <c r="B15" s="42"/>
      <c r="C15" s="42"/>
      <c r="D15" s="178">
        <f>SUM(D11:D14)</f>
        <v>388.3144375</v>
      </c>
      <c r="E15" s="63">
        <f>SUM(E11:E14)</f>
        <v>278.59048446571893</v>
      </c>
      <c r="F15" s="63">
        <f t="shared" ref="F15:P15" si="73">SUM(F11:F14)</f>
        <v>253.90750486352755</v>
      </c>
      <c r="G15" s="63">
        <f t="shared" si="73"/>
        <v>197.23535241485729</v>
      </c>
      <c r="H15" s="63">
        <f t="shared" si="73"/>
        <v>135.68687900614634</v>
      </c>
      <c r="I15" s="63">
        <f t="shared" si="73"/>
        <v>125.13627398321785</v>
      </c>
      <c r="J15" s="63">
        <f t="shared" si="73"/>
        <v>96.634799574682276</v>
      </c>
      <c r="K15" s="63">
        <f t="shared" si="73"/>
        <v>51.759487014496457</v>
      </c>
      <c r="L15" s="63">
        <f t="shared" si="73"/>
        <v>29.418861462564038</v>
      </c>
      <c r="M15" s="63">
        <f t="shared" si="73"/>
        <v>24.504458203637142</v>
      </c>
      <c r="N15" s="63">
        <f t="shared" si="73"/>
        <v>14.960061851819018</v>
      </c>
      <c r="O15" s="63">
        <f t="shared" si="73"/>
        <v>4.03589010359409</v>
      </c>
      <c r="P15" s="63">
        <f t="shared" ca="1" si="73"/>
        <v>5692.9393116256542</v>
      </c>
      <c r="Q15" s="64">
        <f t="shared" ca="1" si="24"/>
        <v>8661.3155159579146</v>
      </c>
      <c r="S15" s="63">
        <f t="shared" ref="S15:AB15" ca="1" si="74">SUM(S11:S14)</f>
        <v>9385.1099825134588</v>
      </c>
      <c r="T15" s="63">
        <f t="shared" ca="1" si="74"/>
        <v>10749.079362982562</v>
      </c>
      <c r="U15" s="63">
        <f t="shared" ca="1" si="74"/>
        <v>12198.963254593789</v>
      </c>
      <c r="V15" s="63">
        <f t="shared" ca="1" si="74"/>
        <v>13739.179479391132</v>
      </c>
      <c r="W15" s="63">
        <f t="shared" ca="1" si="74"/>
        <v>15374.348776088085</v>
      </c>
      <c r="X15" s="63">
        <f t="shared" ca="1" si="74"/>
        <v>17109.303145234269</v>
      </c>
      <c r="Y15" s="63">
        <f t="shared" ca="1" si="74"/>
        <v>18746.691256989583</v>
      </c>
      <c r="Z15" s="63">
        <f t="shared" ca="1" si="74"/>
        <v>19837.993720560626</v>
      </c>
      <c r="AA15" s="63">
        <f t="shared" ca="1" si="74"/>
        <v>20546.965850905926</v>
      </c>
      <c r="AB15" s="63">
        <f t="shared" ca="1" si="74"/>
        <v>21286.8389724935</v>
      </c>
      <c r="AC15" s="63">
        <f t="shared" ref="AC15:AL15" ca="1" si="75">SUM(AC11:AC14)</f>
        <v>22059.213558679439</v>
      </c>
      <c r="AD15" s="63">
        <f t="shared" ca="1" si="75"/>
        <v>22865.782460405298</v>
      </c>
      <c r="AE15" s="63">
        <f t="shared" ca="1" si="75"/>
        <v>23708.336531615914</v>
      </c>
      <c r="AF15" s="63">
        <f t="shared" ca="1" si="75"/>
        <v>24588.770614811197</v>
      </c>
      <c r="AG15" s="63">
        <f t="shared" ca="1" si="75"/>
        <v>25509.089894256576</v>
      </c>
      <c r="AH15" s="63">
        <f t="shared" ca="1" si="75"/>
        <v>26471.416648028266</v>
      </c>
      <c r="AI15" s="63">
        <f t="shared" ca="1" si="75"/>
        <v>27477.997423954705</v>
      </c>
      <c r="AJ15" s="63">
        <f t="shared" ca="1" si="75"/>
        <v>28531.210662058293</v>
      </c>
      <c r="AK15" s="63">
        <f t="shared" ca="1" si="75"/>
        <v>29633.574797600089</v>
      </c>
      <c r="AL15" s="63">
        <f t="shared" ca="1" si="75"/>
        <v>30787.756868913151</v>
      </c>
      <c r="AM15"/>
      <c r="AN15"/>
      <c r="AO15"/>
      <c r="AP15"/>
      <c r="AQ15"/>
      <c r="AR15"/>
      <c r="AS15"/>
      <c r="AT15"/>
      <c r="AU15"/>
      <c r="AV15"/>
      <c r="AW15"/>
      <c r="AX15"/>
      <c r="AY15"/>
      <c r="BB15" s="598">
        <v>0.2</v>
      </c>
      <c r="BC15" s="1" t="s">
        <v>493</v>
      </c>
    </row>
    <row r="16" spans="1:59" s="1" customFormat="1">
      <c r="A16" s="54" t="s">
        <v>504</v>
      </c>
      <c r="B16" s="55"/>
      <c r="C16" s="55"/>
      <c r="D16" s="180">
        <f>+D10+D15</f>
        <v>235842.48840657217</v>
      </c>
      <c r="E16" s="56">
        <f t="shared" ref="E16:O16" si="76">+E10+E15</f>
        <v>19092.12012364098</v>
      </c>
      <c r="F16" s="56">
        <f t="shared" si="76"/>
        <v>19067.437144038788</v>
      </c>
      <c r="G16" s="56">
        <f t="shared" si="76"/>
        <v>19010.764991590117</v>
      </c>
      <c r="H16" s="56">
        <f t="shared" si="76"/>
        <v>18949.216518181405</v>
      </c>
      <c r="I16" s="56">
        <f t="shared" si="76"/>
        <v>18938.665913158478</v>
      </c>
      <c r="J16" s="56">
        <f t="shared" si="76"/>
        <v>18910.164438749944</v>
      </c>
      <c r="K16" s="56">
        <f t="shared" si="76"/>
        <v>18865.289126189757</v>
      </c>
      <c r="L16" s="56">
        <f t="shared" si="76"/>
        <v>18842.948500637824</v>
      </c>
      <c r="M16" s="56">
        <f t="shared" si="76"/>
        <v>18838.034097378899</v>
      </c>
      <c r="N16" s="56">
        <f t="shared" si="76"/>
        <v>18828.48970102708</v>
      </c>
      <c r="O16" s="56">
        <f t="shared" si="76"/>
        <v>18817.565529278854</v>
      </c>
      <c r="P16" s="56">
        <f ca="1">+P10+P15</f>
        <v>241147.11328069784</v>
      </c>
      <c r="Q16" s="56">
        <f t="shared" ca="1" si="24"/>
        <v>451064.31551595801</v>
      </c>
      <c r="R16" s="1" t="s">
        <v>73</v>
      </c>
      <c r="S16" s="56">
        <f ca="1">+S10+S15</f>
        <v>473908.2599825135</v>
      </c>
      <c r="T16" s="56">
        <f t="shared" ref="T16:AB16" ca="1" si="77">+T10+T15</f>
        <v>498498.38686298259</v>
      </c>
      <c r="U16" s="56">
        <f t="shared" ca="1" si="77"/>
        <v>524335.73612959392</v>
      </c>
      <c r="V16" s="56">
        <f t="shared" ca="1" si="77"/>
        <v>551482.79099814116</v>
      </c>
      <c r="W16" s="56">
        <f t="shared" ca="1" si="77"/>
        <v>580005.14087077568</v>
      </c>
      <c r="X16" s="56">
        <f t="shared" ca="1" si="77"/>
        <v>609971.63484465622</v>
      </c>
      <c r="Y16" s="56">
        <f t="shared" ca="1" si="77"/>
        <v>641252.13954138267</v>
      </c>
      <c r="Z16" s="56">
        <f t="shared" ca="1" si="77"/>
        <v>673468.71441917331</v>
      </c>
      <c r="AA16" s="56">
        <f t="shared" ca="1" si="77"/>
        <v>706859.22258444934</v>
      </c>
      <c r="AB16" s="56">
        <f t="shared" ca="1" si="77"/>
        <v>741914.70854271413</v>
      </c>
      <c r="AC16" s="56">
        <f t="shared" ref="AC16:AL16" ca="1" si="78">+AC10+AC15</f>
        <v>778718.47660741105</v>
      </c>
      <c r="AD16" s="56">
        <f t="shared" ca="1" si="78"/>
        <v>817358.00866157352</v>
      </c>
      <c r="AE16" s="56">
        <f t="shared" ca="1" si="78"/>
        <v>857925.1740428427</v>
      </c>
      <c r="AF16" s="56">
        <f t="shared" ca="1" si="78"/>
        <v>900516.45000159938</v>
      </c>
      <c r="AG16" s="56">
        <f t="shared" ca="1" si="78"/>
        <v>945233.15325038414</v>
      </c>
      <c r="AH16" s="56">
        <f t="shared" ca="1" si="78"/>
        <v>992181.68317196227</v>
      </c>
      <c r="AI16" s="56">
        <f t="shared" ca="1" si="78"/>
        <v>1041473.7772740853</v>
      </c>
      <c r="AJ16" s="56">
        <f t="shared" ca="1" si="78"/>
        <v>1093226.7795046957</v>
      </c>
      <c r="AK16" s="56">
        <f t="shared" ca="1" si="78"/>
        <v>1147563.9220823692</v>
      </c>
      <c r="AL16" s="56">
        <f t="shared" ca="1" si="78"/>
        <v>1204614.6215179209</v>
      </c>
      <c r="AX16" s="13"/>
      <c r="AY16" s="13"/>
    </row>
    <row r="17" spans="1:51" s="1" customFormat="1">
      <c r="A17" s="41" t="s">
        <v>440</v>
      </c>
      <c r="B17" s="42"/>
      <c r="C17" s="42"/>
      <c r="D17" s="181">
        <v>0</v>
      </c>
      <c r="E17" s="1012">
        <v>0</v>
      </c>
      <c r="F17" s="63">
        <f t="shared" ref="F17:P17" si="79">+E17</f>
        <v>0</v>
      </c>
      <c r="G17" s="63">
        <f t="shared" si="79"/>
        <v>0</v>
      </c>
      <c r="H17" s="63">
        <f t="shared" si="79"/>
        <v>0</v>
      </c>
      <c r="I17" s="63">
        <f t="shared" si="79"/>
        <v>0</v>
      </c>
      <c r="J17" s="63">
        <f t="shared" si="79"/>
        <v>0</v>
      </c>
      <c r="K17" s="63">
        <f t="shared" si="79"/>
        <v>0</v>
      </c>
      <c r="L17" s="63">
        <f t="shared" si="79"/>
        <v>0</v>
      </c>
      <c r="M17" s="63">
        <f t="shared" si="79"/>
        <v>0</v>
      </c>
      <c r="N17" s="63">
        <f t="shared" si="79"/>
        <v>0</v>
      </c>
      <c r="O17" s="63">
        <f t="shared" si="79"/>
        <v>0</v>
      </c>
      <c r="P17" s="63">
        <f t="shared" si="79"/>
        <v>0</v>
      </c>
      <c r="Q17" s="64">
        <f t="shared" si="24"/>
        <v>0</v>
      </c>
      <c r="R17" t="s">
        <v>731</v>
      </c>
      <c r="S17" s="1008">
        <f ca="1">+S16/Q16-1</f>
        <v>5.0644539327889593E-2</v>
      </c>
      <c r="T17" s="1008">
        <f ca="1">+T16/S16-1</f>
        <v>5.1887947429691161E-2</v>
      </c>
      <c r="U17" s="1008">
        <f t="shared" ref="U17:AB17" ca="1" si="80">+U16/T16-1</f>
        <v>5.1830356822625046E-2</v>
      </c>
      <c r="V17" s="1008">
        <f t="shared" ca="1" si="80"/>
        <v>5.1774183977873367E-2</v>
      </c>
      <c r="W17" s="1008">
        <f t="shared" ca="1" si="80"/>
        <v>5.1719383339253966E-2</v>
      </c>
      <c r="X17" s="1008">
        <f t="shared" ca="1" si="80"/>
        <v>5.1665910976049556E-2</v>
      </c>
      <c r="Y17" s="1008">
        <f t="shared" ca="1" si="80"/>
        <v>5.1281900517706536E-2</v>
      </c>
      <c r="Z17" s="1008">
        <f t="shared" ca="1" si="80"/>
        <v>5.0240105086950093E-2</v>
      </c>
      <c r="AA17" s="1008">
        <f t="shared" ca="1" si="80"/>
        <v>4.9579895027600962E-2</v>
      </c>
      <c r="AB17" s="1008">
        <f t="shared" ca="1" si="80"/>
        <v>4.9593306330634634E-2</v>
      </c>
      <c r="AC17" s="1008">
        <f t="shared" ref="AC17" ca="1" si="81">+AC16/AB16-1</f>
        <v>4.9606467752860262E-2</v>
      </c>
      <c r="AD17" s="1008">
        <f t="shared" ref="AD17" ca="1" si="82">+AD16/AC16-1</f>
        <v>4.9619385201312705E-2</v>
      </c>
      <c r="AE17" s="1008">
        <f t="shared" ref="AE17" ca="1" si="83">+AE16/AD16-1</f>
        <v>4.9632064470375825E-2</v>
      </c>
      <c r="AF17" s="1008">
        <f t="shared" ref="AF17" ca="1" si="84">+AF16/AE16-1</f>
        <v>4.9644511255045431E-2</v>
      </c>
      <c r="AG17" s="1008">
        <f t="shared" ref="AG17" ca="1" si="85">+AG16/AF16-1</f>
        <v>4.9656731144339883E-2</v>
      </c>
      <c r="AH17" s="1008">
        <f t="shared" ref="AH17" ca="1" si="86">+AH16/AG16-1</f>
        <v>4.9668729625210073E-2</v>
      </c>
      <c r="AI17" s="1008">
        <f t="shared" ref="AI17" ca="1" si="87">+AI16/AH16-1</f>
        <v>4.968051208578883E-2</v>
      </c>
      <c r="AJ17" s="1008">
        <f t="shared" ref="AJ17" ca="1" si="88">+AJ16/AI16-1</f>
        <v>4.9692083814214527E-2</v>
      </c>
      <c r="AK17" s="1008">
        <f t="shared" ref="AK17" ca="1" si="89">+AK16/AJ16-1</f>
        <v>4.9703450003568239E-2</v>
      </c>
      <c r="AL17" s="1008">
        <f t="shared" ref="AL17" ca="1" si="90">+AL16/AK16-1</f>
        <v>4.9714615750578339E-2</v>
      </c>
      <c r="AM17"/>
      <c r="AN17"/>
      <c r="AO17"/>
      <c r="AP17"/>
      <c r="AQ17"/>
      <c r="AR17"/>
      <c r="AS17"/>
      <c r="AT17"/>
      <c r="AU17"/>
      <c r="AV17"/>
      <c r="AW17"/>
      <c r="AX17"/>
      <c r="AY17"/>
    </row>
    <row r="18" spans="1:51">
      <c r="A18" s="3" t="s">
        <v>20</v>
      </c>
      <c r="B18" t="s">
        <v>8</v>
      </c>
      <c r="C18" t="s">
        <v>49</v>
      </c>
      <c r="D18" s="1013">
        <v>0</v>
      </c>
      <c r="E18" s="485">
        <f>-35000/2</f>
        <v>-17500</v>
      </c>
      <c r="F18" s="60"/>
      <c r="G18" s="60"/>
      <c r="H18" s="60"/>
      <c r="I18" s="60"/>
      <c r="J18" s="60"/>
      <c r="K18" s="485">
        <f>-35000/2</f>
        <v>-17500</v>
      </c>
      <c r="L18" s="60"/>
      <c r="M18" s="60"/>
      <c r="N18" s="60"/>
      <c r="O18" s="70"/>
      <c r="Q18" s="58">
        <f t="shared" ref="Q18:Q26" si="91">SUM(E18:P18)</f>
        <v>-35000</v>
      </c>
    </row>
    <row r="19" spans="1:51">
      <c r="A19" s="3" t="s">
        <v>50</v>
      </c>
      <c r="B19" t="s">
        <v>8</v>
      </c>
      <c r="D19" s="179">
        <f>-2458.43/3</f>
        <v>-819.47666666666657</v>
      </c>
      <c r="E19" s="59">
        <f t="shared" ref="E19:P19" si="92">+D19</f>
        <v>-819.47666666666657</v>
      </c>
      <c r="F19" s="59">
        <f t="shared" si="92"/>
        <v>-819.47666666666657</v>
      </c>
      <c r="G19" s="59">
        <f t="shared" si="92"/>
        <v>-819.47666666666657</v>
      </c>
      <c r="H19" s="59">
        <f t="shared" si="92"/>
        <v>-819.47666666666657</v>
      </c>
      <c r="I19" s="59">
        <f t="shared" si="92"/>
        <v>-819.47666666666657</v>
      </c>
      <c r="J19" s="59">
        <f t="shared" si="92"/>
        <v>-819.47666666666657</v>
      </c>
      <c r="K19" s="59">
        <f t="shared" si="92"/>
        <v>-819.47666666666657</v>
      </c>
      <c r="L19" s="59">
        <f t="shared" si="92"/>
        <v>-819.47666666666657</v>
      </c>
      <c r="M19" s="59">
        <f t="shared" si="92"/>
        <v>-819.47666666666657</v>
      </c>
      <c r="N19" s="59">
        <f t="shared" si="92"/>
        <v>-819.47666666666657</v>
      </c>
      <c r="O19" s="59">
        <f t="shared" si="92"/>
        <v>-819.47666666666657</v>
      </c>
      <c r="P19" s="59">
        <f t="shared" si="92"/>
        <v>-819.47666666666657</v>
      </c>
      <c r="Q19" s="58">
        <f t="shared" si="91"/>
        <v>-9833.7200000000012</v>
      </c>
    </row>
    <row r="20" spans="1:51">
      <c r="A20" s="3" t="s">
        <v>14</v>
      </c>
      <c r="D20" s="179">
        <v>0</v>
      </c>
      <c r="E20" s="59">
        <f t="shared" ref="E20:E25" si="93">+D20</f>
        <v>0</v>
      </c>
      <c r="F20" s="59">
        <f t="shared" ref="F20:F25" si="94">+E20</f>
        <v>0</v>
      </c>
      <c r="G20" s="59">
        <f t="shared" ref="G20:G25" si="95">+F20</f>
        <v>0</v>
      </c>
      <c r="H20" s="59">
        <f t="shared" ref="H20:H25" si="96">+G20</f>
        <v>0</v>
      </c>
      <c r="I20" s="59">
        <f t="shared" ref="I20:I25" si="97">+H20</f>
        <v>0</v>
      </c>
      <c r="J20" s="59">
        <f t="shared" ref="J20:J25" si="98">+I20</f>
        <v>0</v>
      </c>
      <c r="K20" s="59">
        <f t="shared" ref="K20:K25" si="99">+J20</f>
        <v>0</v>
      </c>
      <c r="L20" s="59">
        <f t="shared" ref="L20:L25" si="100">+K20</f>
        <v>0</v>
      </c>
      <c r="M20" s="59">
        <f t="shared" ref="M20:M25" si="101">+L20</f>
        <v>0</v>
      </c>
      <c r="N20" s="59">
        <f t="shared" ref="N20:N25" si="102">+M20</f>
        <v>0</v>
      </c>
      <c r="O20" s="59">
        <f t="shared" ref="O20:O25" si="103">+N20</f>
        <v>0</v>
      </c>
      <c r="P20" s="59">
        <f t="shared" ref="P20:P25" si="104">+O20</f>
        <v>0</v>
      </c>
      <c r="Q20" s="58">
        <f t="shared" si="91"/>
        <v>0</v>
      </c>
    </row>
    <row r="21" spans="1:51">
      <c r="A21" s="3" t="s">
        <v>51</v>
      </c>
      <c r="B21" t="s">
        <v>8</v>
      </c>
      <c r="D21" s="183">
        <v>0</v>
      </c>
      <c r="E21" s="59">
        <f t="shared" si="93"/>
        <v>0</v>
      </c>
      <c r="F21" s="59">
        <f t="shared" si="94"/>
        <v>0</v>
      </c>
      <c r="G21" s="59">
        <f t="shared" si="95"/>
        <v>0</v>
      </c>
      <c r="H21" s="59">
        <f t="shared" si="96"/>
        <v>0</v>
      </c>
      <c r="I21" s="59">
        <f t="shared" si="97"/>
        <v>0</v>
      </c>
      <c r="J21" s="59">
        <f t="shared" si="98"/>
        <v>0</v>
      </c>
      <c r="K21" s="59">
        <f t="shared" si="99"/>
        <v>0</v>
      </c>
      <c r="L21" s="59">
        <f t="shared" si="100"/>
        <v>0</v>
      </c>
      <c r="M21" s="59">
        <f t="shared" si="101"/>
        <v>0</v>
      </c>
      <c r="N21" s="59">
        <f t="shared" si="102"/>
        <v>0</v>
      </c>
      <c r="O21" s="59">
        <f t="shared" si="103"/>
        <v>0</v>
      </c>
      <c r="P21" s="59">
        <f t="shared" si="104"/>
        <v>0</v>
      </c>
      <c r="Q21" s="58">
        <f t="shared" si="91"/>
        <v>0</v>
      </c>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row>
    <row r="22" spans="1:51">
      <c r="A22" s="3" t="s">
        <v>11</v>
      </c>
      <c r="B22" t="s">
        <v>8</v>
      </c>
      <c r="C22" t="s">
        <v>52</v>
      </c>
      <c r="D22" s="182">
        <f>-'Balance Sheet'!B48*'Balance Sheet'!E48/12</f>
        <v>-2480.6249999999995</v>
      </c>
      <c r="E22" s="59">
        <f t="shared" si="93"/>
        <v>-2480.6249999999995</v>
      </c>
      <c r="F22" s="59">
        <f t="shared" si="94"/>
        <v>-2480.6249999999995</v>
      </c>
      <c r="G22" s="59">
        <f t="shared" si="95"/>
        <v>-2480.6249999999995</v>
      </c>
      <c r="H22" s="59">
        <f t="shared" si="96"/>
        <v>-2480.6249999999995</v>
      </c>
      <c r="I22" s="59">
        <f t="shared" si="97"/>
        <v>-2480.6249999999995</v>
      </c>
      <c r="J22" s="59">
        <f t="shared" si="98"/>
        <v>-2480.6249999999995</v>
      </c>
      <c r="K22" s="59">
        <f t="shared" si="99"/>
        <v>-2480.6249999999995</v>
      </c>
      <c r="L22" s="59">
        <f t="shared" si="100"/>
        <v>-2480.6249999999995</v>
      </c>
      <c r="M22" s="59">
        <f t="shared" si="101"/>
        <v>-2480.6249999999995</v>
      </c>
      <c r="N22" s="59">
        <f t="shared" si="102"/>
        <v>-2480.6249999999995</v>
      </c>
      <c r="O22" s="59">
        <f t="shared" si="103"/>
        <v>-2480.6249999999995</v>
      </c>
      <c r="P22" s="59">
        <f t="shared" si="104"/>
        <v>-2480.6249999999995</v>
      </c>
      <c r="Q22" s="58">
        <f t="shared" si="91"/>
        <v>-29767.499999999996</v>
      </c>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row>
    <row r="23" spans="1:51">
      <c r="A23" s="3" t="s">
        <v>63</v>
      </c>
      <c r="C23" t="s">
        <v>63</v>
      </c>
      <c r="D23" s="179">
        <v>-106.33</v>
      </c>
      <c r="E23" s="59">
        <f t="shared" si="93"/>
        <v>-106.33</v>
      </c>
      <c r="F23" s="59">
        <f t="shared" si="94"/>
        <v>-106.33</v>
      </c>
      <c r="G23" s="59">
        <f t="shared" si="95"/>
        <v>-106.33</v>
      </c>
      <c r="H23" s="59">
        <f t="shared" si="96"/>
        <v>-106.33</v>
      </c>
      <c r="I23" s="59">
        <f t="shared" si="97"/>
        <v>-106.33</v>
      </c>
      <c r="J23" s="59">
        <f t="shared" si="98"/>
        <v>-106.33</v>
      </c>
      <c r="K23" s="59">
        <f t="shared" si="99"/>
        <v>-106.33</v>
      </c>
      <c r="L23" s="59">
        <f t="shared" si="100"/>
        <v>-106.33</v>
      </c>
      <c r="M23" s="59">
        <f t="shared" si="101"/>
        <v>-106.33</v>
      </c>
      <c r="N23" s="59">
        <f t="shared" si="102"/>
        <v>-106.33</v>
      </c>
      <c r="O23" s="59">
        <f t="shared" si="103"/>
        <v>-106.33</v>
      </c>
      <c r="P23" s="59">
        <f t="shared" si="104"/>
        <v>-106.33</v>
      </c>
      <c r="Q23" s="58">
        <f t="shared" si="91"/>
        <v>-1275.96</v>
      </c>
    </row>
    <row r="24" spans="1:51">
      <c r="A24" s="3" t="s">
        <v>58</v>
      </c>
      <c r="C24" t="s">
        <v>58</v>
      </c>
      <c r="D24" s="179">
        <v>-287.45</v>
      </c>
      <c r="E24" s="59">
        <f t="shared" si="93"/>
        <v>-287.45</v>
      </c>
      <c r="F24" s="59">
        <f t="shared" si="94"/>
        <v>-287.45</v>
      </c>
      <c r="G24" s="59">
        <f t="shared" si="95"/>
        <v>-287.45</v>
      </c>
      <c r="H24" s="59">
        <f t="shared" si="96"/>
        <v>-287.45</v>
      </c>
      <c r="I24" s="59">
        <f t="shared" si="97"/>
        <v>-287.45</v>
      </c>
      <c r="J24" s="59">
        <f t="shared" si="98"/>
        <v>-287.45</v>
      </c>
      <c r="K24" s="59">
        <f t="shared" si="99"/>
        <v>-287.45</v>
      </c>
      <c r="L24" s="59">
        <f t="shared" si="100"/>
        <v>-287.45</v>
      </c>
      <c r="M24" s="59">
        <f t="shared" si="101"/>
        <v>-287.45</v>
      </c>
      <c r="N24" s="59">
        <f t="shared" si="102"/>
        <v>-287.45</v>
      </c>
      <c r="O24" s="59">
        <f t="shared" si="103"/>
        <v>-287.45</v>
      </c>
      <c r="P24" s="59">
        <f t="shared" si="104"/>
        <v>-287.45</v>
      </c>
      <c r="Q24" s="58">
        <f t="shared" si="91"/>
        <v>-3449.3999999999992</v>
      </c>
    </row>
    <row r="25" spans="1:51">
      <c r="A25" s="3" t="s">
        <v>48</v>
      </c>
      <c r="D25" s="179">
        <v>-830</v>
      </c>
      <c r="E25" s="59">
        <f t="shared" si="93"/>
        <v>-830</v>
      </c>
      <c r="F25" s="59">
        <f t="shared" si="94"/>
        <v>-830</v>
      </c>
      <c r="G25" s="59">
        <f t="shared" si="95"/>
        <v>-830</v>
      </c>
      <c r="H25" s="59">
        <f t="shared" si="96"/>
        <v>-830</v>
      </c>
      <c r="I25" s="59">
        <f t="shared" si="97"/>
        <v>-830</v>
      </c>
      <c r="J25" s="59">
        <f t="shared" si="98"/>
        <v>-830</v>
      </c>
      <c r="K25" s="59">
        <f t="shared" si="99"/>
        <v>-830</v>
      </c>
      <c r="L25" s="59">
        <f t="shared" si="100"/>
        <v>-830</v>
      </c>
      <c r="M25" s="59">
        <f t="shared" si="101"/>
        <v>-830</v>
      </c>
      <c r="N25" s="59">
        <f t="shared" si="102"/>
        <v>-830</v>
      </c>
      <c r="O25" s="59">
        <f t="shared" si="103"/>
        <v>-830</v>
      </c>
      <c r="P25" s="59">
        <f t="shared" si="104"/>
        <v>-830</v>
      </c>
      <c r="Q25" s="58">
        <f t="shared" si="91"/>
        <v>-9960</v>
      </c>
    </row>
    <row r="26" spans="1:51" s="1" customFormat="1">
      <c r="A26" s="41" t="s">
        <v>441</v>
      </c>
      <c r="B26" s="42"/>
      <c r="C26" s="42"/>
      <c r="D26" s="178">
        <f t="shared" ref="D26:P26" si="105">+SUM(D18:D25)</f>
        <v>-4523.8816666666662</v>
      </c>
      <c r="E26" s="63">
        <f t="shared" si="105"/>
        <v>-22023.881666666668</v>
      </c>
      <c r="F26" s="63">
        <f t="shared" si="105"/>
        <v>-4523.8816666666662</v>
      </c>
      <c r="G26" s="63">
        <f t="shared" si="105"/>
        <v>-4523.8816666666662</v>
      </c>
      <c r="H26" s="63">
        <f t="shared" si="105"/>
        <v>-4523.8816666666662</v>
      </c>
      <c r="I26" s="63">
        <f t="shared" si="105"/>
        <v>-4523.8816666666662</v>
      </c>
      <c r="J26" s="63">
        <f t="shared" si="105"/>
        <v>-4523.8816666666662</v>
      </c>
      <c r="K26" s="63">
        <f t="shared" si="105"/>
        <v>-22023.881666666668</v>
      </c>
      <c r="L26" s="63">
        <f t="shared" si="105"/>
        <v>-4523.8816666666662</v>
      </c>
      <c r="M26" s="63">
        <f t="shared" si="105"/>
        <v>-4523.8816666666662</v>
      </c>
      <c r="N26" s="63">
        <f t="shared" si="105"/>
        <v>-4523.8816666666662</v>
      </c>
      <c r="O26" s="63">
        <f t="shared" si="105"/>
        <v>-4523.8816666666662</v>
      </c>
      <c r="P26" s="63">
        <f t="shared" si="105"/>
        <v>-4523.8816666666662</v>
      </c>
      <c r="Q26" s="64">
        <f t="shared" si="91"/>
        <v>-89286.580000000016</v>
      </c>
      <c r="R26" s="50" t="str">
        <f>+IF(Q20=0,"NA",Q26/('Balance Sheet'!B31-'Balance Sheet'!B48))</f>
        <v>NA</v>
      </c>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1" t="s">
        <v>114</v>
      </c>
    </row>
    <row r="27" spans="1:51">
      <c r="A27" s="3" t="s">
        <v>20</v>
      </c>
      <c r="B27" t="s">
        <v>8</v>
      </c>
      <c r="C27" t="s">
        <v>49</v>
      </c>
      <c r="D27" s="1013"/>
      <c r="E27" s="60"/>
      <c r="F27" s="60"/>
      <c r="G27" s="60"/>
      <c r="H27" s="60"/>
      <c r="I27" s="60"/>
      <c r="J27" s="60"/>
      <c r="K27" s="60"/>
      <c r="L27" s="60"/>
      <c r="M27" s="60"/>
      <c r="N27" s="60"/>
      <c r="O27" s="70"/>
      <c r="P27" s="70">
        <f>-9393.2/2</f>
        <v>-4696.6000000000004</v>
      </c>
      <c r="Q27" s="58">
        <f t="shared" si="24"/>
        <v>-4696.6000000000004</v>
      </c>
    </row>
    <row r="28" spans="1:51">
      <c r="A28" s="3" t="s">
        <v>50</v>
      </c>
      <c r="B28" t="s">
        <v>8</v>
      </c>
      <c r="D28" s="179">
        <f>-486.67/2</f>
        <v>-243.33500000000001</v>
      </c>
      <c r="E28" s="59">
        <f>+D28</f>
        <v>-243.33500000000001</v>
      </c>
      <c r="F28" s="59">
        <f t="shared" ref="F28:P28" si="106">+E28</f>
        <v>-243.33500000000001</v>
      </c>
      <c r="G28" s="59">
        <f t="shared" si="106"/>
        <v>-243.33500000000001</v>
      </c>
      <c r="H28" s="59">
        <f t="shared" si="106"/>
        <v>-243.33500000000001</v>
      </c>
      <c r="I28" s="59">
        <f t="shared" si="106"/>
        <v>-243.33500000000001</v>
      </c>
      <c r="J28" s="59">
        <f t="shared" si="106"/>
        <v>-243.33500000000001</v>
      </c>
      <c r="K28" s="59">
        <f t="shared" si="106"/>
        <v>-243.33500000000001</v>
      </c>
      <c r="L28" s="59">
        <f t="shared" si="106"/>
        <v>-243.33500000000001</v>
      </c>
      <c r="M28" s="59">
        <f t="shared" si="106"/>
        <v>-243.33500000000001</v>
      </c>
      <c r="N28" s="59">
        <f t="shared" si="106"/>
        <v>-243.33500000000001</v>
      </c>
      <c r="O28" s="59">
        <f t="shared" si="106"/>
        <v>-243.33500000000001</v>
      </c>
      <c r="P28" s="59">
        <f t="shared" si="106"/>
        <v>-243.33500000000001</v>
      </c>
      <c r="Q28" s="58">
        <f t="shared" si="24"/>
        <v>-2920.02</v>
      </c>
    </row>
    <row r="29" spans="1:51">
      <c r="A29" s="3" t="s">
        <v>64</v>
      </c>
      <c r="D29" s="179">
        <f>-8204.6/2</f>
        <v>-4102.3</v>
      </c>
      <c r="E29" s="59"/>
      <c r="F29" s="59"/>
      <c r="G29" s="59"/>
      <c r="H29" s="59"/>
      <c r="I29" s="59"/>
      <c r="J29" s="59"/>
      <c r="K29" s="59"/>
      <c r="L29" s="59"/>
      <c r="M29" s="59"/>
      <c r="N29" s="59"/>
      <c r="O29" s="59"/>
      <c r="P29" s="70">
        <f>-8204.6/2</f>
        <v>-4102.3</v>
      </c>
      <c r="Q29" s="58">
        <f t="shared" si="24"/>
        <v>-4102.3</v>
      </c>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row>
    <row r="30" spans="1:51">
      <c r="A30" s="3" t="s">
        <v>14</v>
      </c>
      <c r="D30" s="182">
        <f>+'Balance Sheet'!J32</f>
        <v>2100</v>
      </c>
      <c r="E30" s="59">
        <f>+D30</f>
        <v>2100</v>
      </c>
      <c r="F30" s="59">
        <f t="shared" ref="F30:P31" si="107">+E30</f>
        <v>2100</v>
      </c>
      <c r="G30" s="59">
        <f t="shared" si="107"/>
        <v>2100</v>
      </c>
      <c r="H30" s="59">
        <f t="shared" si="107"/>
        <v>2100</v>
      </c>
      <c r="I30" s="59">
        <f t="shared" si="107"/>
        <v>2100</v>
      </c>
      <c r="J30" s="59">
        <f t="shared" si="107"/>
        <v>2100</v>
      </c>
      <c r="K30" s="59">
        <f t="shared" si="107"/>
        <v>2100</v>
      </c>
      <c r="L30" s="59">
        <f t="shared" si="107"/>
        <v>2100</v>
      </c>
      <c r="M30" s="59">
        <f t="shared" si="107"/>
        <v>2100</v>
      </c>
      <c r="N30" s="59">
        <f t="shared" si="107"/>
        <v>2100</v>
      </c>
      <c r="O30" s="59">
        <f t="shared" si="107"/>
        <v>2100</v>
      </c>
      <c r="P30" s="59">
        <f t="shared" si="107"/>
        <v>2100</v>
      </c>
      <c r="Q30" s="58">
        <f t="shared" si="24"/>
        <v>25200</v>
      </c>
    </row>
    <row r="31" spans="1:51">
      <c r="A31" s="3" t="s">
        <v>51</v>
      </c>
      <c r="B31" t="s">
        <v>8</v>
      </c>
      <c r="D31" s="183">
        <f>-D30*18%</f>
        <v>-378</v>
      </c>
      <c r="E31" s="59">
        <f>+D31</f>
        <v>-378</v>
      </c>
      <c r="F31" s="59">
        <f t="shared" si="107"/>
        <v>-378</v>
      </c>
      <c r="G31" s="59">
        <f t="shared" si="107"/>
        <v>-378</v>
      </c>
      <c r="H31" s="59">
        <f t="shared" si="107"/>
        <v>-378</v>
      </c>
      <c r="I31" s="59">
        <f t="shared" si="107"/>
        <v>-378</v>
      </c>
      <c r="J31" s="59">
        <f t="shared" si="107"/>
        <v>-378</v>
      </c>
      <c r="K31" s="59">
        <f t="shared" si="107"/>
        <v>-378</v>
      </c>
      <c r="L31" s="59">
        <f t="shared" si="107"/>
        <v>-378</v>
      </c>
      <c r="M31" s="59">
        <f t="shared" si="107"/>
        <v>-378</v>
      </c>
      <c r="N31" s="59">
        <f t="shared" si="107"/>
        <v>-378</v>
      </c>
      <c r="O31" s="59">
        <f t="shared" si="107"/>
        <v>-378</v>
      </c>
      <c r="P31" s="59">
        <f t="shared" si="107"/>
        <v>-378</v>
      </c>
      <c r="Q31" s="58">
        <f t="shared" si="24"/>
        <v>-4536</v>
      </c>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row>
    <row r="32" spans="1:51">
      <c r="A32" s="3" t="s">
        <v>11</v>
      </c>
      <c r="B32" t="s">
        <v>8</v>
      </c>
      <c r="C32" t="s">
        <v>52</v>
      </c>
      <c r="D32" s="182">
        <f>('Balance Sheet'!B49*'Balance Sheet'!E49/12)*-1</f>
        <v>-312.37499999999994</v>
      </c>
      <c r="E32" s="59">
        <f>+D32</f>
        <v>-312.37499999999994</v>
      </c>
      <c r="F32" s="59">
        <f t="shared" ref="F32:P32" si="108">+E32</f>
        <v>-312.37499999999994</v>
      </c>
      <c r="G32" s="59">
        <f t="shared" si="108"/>
        <v>-312.37499999999994</v>
      </c>
      <c r="H32" s="59">
        <f t="shared" si="108"/>
        <v>-312.37499999999994</v>
      </c>
      <c r="I32" s="59">
        <f t="shared" si="108"/>
        <v>-312.37499999999994</v>
      </c>
      <c r="J32" s="59">
        <f t="shared" si="108"/>
        <v>-312.37499999999994</v>
      </c>
      <c r="K32" s="59">
        <f t="shared" si="108"/>
        <v>-312.37499999999994</v>
      </c>
      <c r="L32" s="59">
        <f t="shared" si="108"/>
        <v>-312.37499999999994</v>
      </c>
      <c r="M32" s="59">
        <f t="shared" si="108"/>
        <v>-312.37499999999994</v>
      </c>
      <c r="N32" s="59">
        <f t="shared" si="108"/>
        <v>-312.37499999999994</v>
      </c>
      <c r="O32" s="59">
        <f t="shared" si="108"/>
        <v>-312.37499999999994</v>
      </c>
      <c r="P32" s="59">
        <f t="shared" si="108"/>
        <v>-312.37499999999994</v>
      </c>
      <c r="Q32" s="58">
        <f t="shared" si="24"/>
        <v>-3748.4999999999995</v>
      </c>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row>
    <row r="33" spans="1:50">
      <c r="A33" s="3" t="s">
        <v>63</v>
      </c>
      <c r="C33" t="s">
        <v>63</v>
      </c>
      <c r="D33" s="183"/>
      <c r="E33" s="59"/>
      <c r="F33" s="59"/>
      <c r="G33" s="59"/>
      <c r="H33" s="59"/>
      <c r="I33" s="59"/>
      <c r="J33" s="59"/>
      <c r="K33" s="59"/>
      <c r="L33" s="59"/>
      <c r="M33" s="59"/>
      <c r="N33" s="59"/>
      <c r="O33" s="59"/>
      <c r="P33" s="59"/>
      <c r="Q33" s="58">
        <f t="shared" si="24"/>
        <v>0</v>
      </c>
    </row>
    <row r="34" spans="1:50">
      <c r="A34" s="3" t="s">
        <v>58</v>
      </c>
      <c r="C34" t="s">
        <v>58</v>
      </c>
      <c r="D34" s="183"/>
      <c r="E34" s="59"/>
      <c r="F34" s="59"/>
      <c r="G34" s="59"/>
      <c r="H34" s="59"/>
      <c r="I34" s="59"/>
      <c r="J34" s="59"/>
      <c r="K34" s="59"/>
      <c r="L34" s="59"/>
      <c r="M34" s="59"/>
      <c r="N34" s="59"/>
      <c r="O34" s="59"/>
      <c r="P34" s="59"/>
      <c r="Q34" s="58">
        <f t="shared" si="24"/>
        <v>0</v>
      </c>
    </row>
    <row r="35" spans="1:50">
      <c r="A35" s="3" t="s">
        <v>48</v>
      </c>
      <c r="D35" s="70">
        <f>-3242*66%</f>
        <v>-2139.7200000000003</v>
      </c>
      <c r="E35" s="59"/>
      <c r="F35" s="59"/>
      <c r="G35" s="59"/>
      <c r="H35" s="59"/>
      <c r="I35" s="59"/>
      <c r="J35" s="59"/>
      <c r="K35" s="59"/>
      <c r="L35" s="59"/>
      <c r="M35" s="59"/>
      <c r="N35" s="59"/>
      <c r="O35" s="59"/>
      <c r="P35" s="59"/>
      <c r="Q35" s="58">
        <f t="shared" si="24"/>
        <v>0</v>
      </c>
    </row>
    <row r="36" spans="1:50" s="1" customFormat="1">
      <c r="A36" s="41" t="s">
        <v>442</v>
      </c>
      <c r="B36" s="42"/>
      <c r="C36" s="42"/>
      <c r="D36" s="178">
        <f t="shared" ref="D36:O36" si="109">+SUM(D27:D35)</f>
        <v>-5075.7300000000005</v>
      </c>
      <c r="E36" s="63">
        <f t="shared" si="109"/>
        <v>1166.29</v>
      </c>
      <c r="F36" s="63">
        <f t="shared" si="109"/>
        <v>1166.29</v>
      </c>
      <c r="G36" s="63">
        <f t="shared" si="109"/>
        <v>1166.29</v>
      </c>
      <c r="H36" s="63">
        <f t="shared" si="109"/>
        <v>1166.29</v>
      </c>
      <c r="I36" s="63">
        <f t="shared" si="109"/>
        <v>1166.29</v>
      </c>
      <c r="J36" s="63">
        <f t="shared" si="109"/>
        <v>1166.29</v>
      </c>
      <c r="K36" s="63">
        <f t="shared" si="109"/>
        <v>1166.29</v>
      </c>
      <c r="L36" s="63">
        <f t="shared" si="109"/>
        <v>1166.29</v>
      </c>
      <c r="M36" s="63">
        <f t="shared" si="109"/>
        <v>1166.29</v>
      </c>
      <c r="N36" s="63">
        <f t="shared" si="109"/>
        <v>1166.29</v>
      </c>
      <c r="O36" s="63">
        <f t="shared" si="109"/>
        <v>1166.29</v>
      </c>
      <c r="P36" s="63">
        <f>+SUM(P27:P35)</f>
        <v>-7632.6100000000006</v>
      </c>
      <c r="Q36" s="64">
        <f t="shared" si="24"/>
        <v>5196.5800000000017</v>
      </c>
      <c r="R36" s="50">
        <f>+Q36/('Balance Sheet'!B32-'Balance Sheet'!B49)</f>
        <v>3.6339720279720295E-2</v>
      </c>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1" t="s">
        <v>114</v>
      </c>
    </row>
    <row r="37" spans="1:50">
      <c r="A37" s="3" t="s">
        <v>54</v>
      </c>
      <c r="B37" t="s">
        <v>5</v>
      </c>
      <c r="D37" s="183"/>
      <c r="E37" s="59"/>
      <c r="F37" s="59"/>
      <c r="G37" s="59"/>
      <c r="H37" s="59"/>
      <c r="I37" s="59"/>
      <c r="J37" s="59"/>
      <c r="K37" s="59"/>
      <c r="L37" s="59"/>
      <c r="M37" s="59"/>
      <c r="N37" s="59"/>
      <c r="O37" s="59"/>
      <c r="P37" s="59"/>
      <c r="Q37" s="58">
        <f t="shared" si="24"/>
        <v>0</v>
      </c>
    </row>
    <row r="38" spans="1:50">
      <c r="A38" s="3" t="s">
        <v>34</v>
      </c>
      <c r="B38" t="s">
        <v>5</v>
      </c>
      <c r="C38" t="s">
        <v>52</v>
      </c>
      <c r="D38" s="182">
        <f>-'Balance Sheet'!B51*'Balance Sheet'!E51/12</f>
        <v>-677.08333333333337</v>
      </c>
      <c r="E38" s="59">
        <f>+D38</f>
        <v>-677.08333333333337</v>
      </c>
      <c r="F38" s="59">
        <f t="shared" ref="F38:P38" si="110">+E38</f>
        <v>-677.08333333333337</v>
      </c>
      <c r="G38" s="59">
        <f t="shared" si="110"/>
        <v>-677.08333333333337</v>
      </c>
      <c r="H38" s="59">
        <f t="shared" si="110"/>
        <v>-677.08333333333337</v>
      </c>
      <c r="I38" s="59">
        <f t="shared" si="110"/>
        <v>-677.08333333333337</v>
      </c>
      <c r="J38" s="59">
        <f t="shared" si="110"/>
        <v>-677.08333333333337</v>
      </c>
      <c r="K38" s="59">
        <f t="shared" si="110"/>
        <v>-677.08333333333337</v>
      </c>
      <c r="L38" s="59">
        <f t="shared" si="110"/>
        <v>-677.08333333333337</v>
      </c>
      <c r="M38" s="59">
        <f t="shared" si="110"/>
        <v>-677.08333333333337</v>
      </c>
      <c r="N38" s="59">
        <f t="shared" si="110"/>
        <v>-677.08333333333337</v>
      </c>
      <c r="O38" s="59">
        <f t="shared" si="110"/>
        <v>-677.08333333333337</v>
      </c>
      <c r="P38" s="59">
        <f t="shared" si="110"/>
        <v>-677.08333333333337</v>
      </c>
      <c r="Q38" s="58">
        <f t="shared" si="24"/>
        <v>-8124.9999999999991</v>
      </c>
    </row>
    <row r="39" spans="1:50">
      <c r="A39" s="41" t="s">
        <v>53</v>
      </c>
      <c r="B39" s="43"/>
      <c r="C39" s="43"/>
      <c r="D39" s="178">
        <f>+SUM(D37:D38)</f>
        <v>-677.08333333333337</v>
      </c>
      <c r="E39" s="63">
        <f t="shared" ref="E39:O39" si="111">+SUM(E37:E38)</f>
        <v>-677.08333333333337</v>
      </c>
      <c r="F39" s="63">
        <f t="shared" si="111"/>
        <v>-677.08333333333337</v>
      </c>
      <c r="G39" s="63">
        <f t="shared" si="111"/>
        <v>-677.08333333333337</v>
      </c>
      <c r="H39" s="63">
        <f t="shared" si="111"/>
        <v>-677.08333333333337</v>
      </c>
      <c r="I39" s="63">
        <f t="shared" si="111"/>
        <v>-677.08333333333337</v>
      </c>
      <c r="J39" s="63">
        <f t="shared" si="111"/>
        <v>-677.08333333333337</v>
      </c>
      <c r="K39" s="63">
        <f t="shared" si="111"/>
        <v>-677.08333333333337</v>
      </c>
      <c r="L39" s="63">
        <f t="shared" si="111"/>
        <v>-677.08333333333337</v>
      </c>
      <c r="M39" s="63">
        <f t="shared" si="111"/>
        <v>-677.08333333333337</v>
      </c>
      <c r="N39" s="63">
        <f t="shared" si="111"/>
        <v>-677.08333333333337</v>
      </c>
      <c r="O39" s="63">
        <f t="shared" si="111"/>
        <v>-677.08333333333337</v>
      </c>
      <c r="P39" s="63">
        <f>+SUM(P37:P38)</f>
        <v>-677.08333333333337</v>
      </c>
      <c r="Q39" s="64">
        <f t="shared" si="24"/>
        <v>-8124.9999999999991</v>
      </c>
    </row>
    <row r="40" spans="1:50">
      <c r="A40" s="3" t="s">
        <v>69</v>
      </c>
      <c r="C40" t="s">
        <v>52</v>
      </c>
      <c r="D40" s="182">
        <f>-'Balance Sheet'!K45-'Balance Sheet'!L45</f>
        <v>-165.06666666666666</v>
      </c>
      <c r="E40" s="59">
        <f>+D40</f>
        <v>-165.06666666666666</v>
      </c>
      <c r="F40" s="59">
        <f t="shared" ref="F40:P40" si="112">+E40</f>
        <v>-165.06666666666666</v>
      </c>
      <c r="G40" s="59">
        <f t="shared" si="112"/>
        <v>-165.06666666666666</v>
      </c>
      <c r="H40" s="59">
        <f t="shared" si="112"/>
        <v>-165.06666666666666</v>
      </c>
      <c r="I40" s="59">
        <f t="shared" si="112"/>
        <v>-165.06666666666666</v>
      </c>
      <c r="J40" s="59">
        <f t="shared" si="112"/>
        <v>-165.06666666666666</v>
      </c>
      <c r="K40" s="59">
        <f t="shared" si="112"/>
        <v>-165.06666666666666</v>
      </c>
      <c r="L40" s="59">
        <f t="shared" si="112"/>
        <v>-165.06666666666666</v>
      </c>
      <c r="M40" s="59">
        <f t="shared" si="112"/>
        <v>-165.06666666666666</v>
      </c>
      <c r="N40" s="59">
        <f t="shared" si="112"/>
        <v>-165.06666666666666</v>
      </c>
      <c r="O40" s="59">
        <f t="shared" si="112"/>
        <v>-165.06666666666666</v>
      </c>
      <c r="P40" s="59">
        <f t="shared" si="112"/>
        <v>-165.06666666666666</v>
      </c>
      <c r="Q40" s="58">
        <f t="shared" si="24"/>
        <v>-1980.7999999999995</v>
      </c>
    </row>
    <row r="41" spans="1:50">
      <c r="A41" s="3" t="s">
        <v>70</v>
      </c>
      <c r="C41" t="s">
        <v>52</v>
      </c>
      <c r="D41" s="182">
        <f>-'Balance Sheet'!K46-'Balance Sheet'!L46</f>
        <v>-594.375</v>
      </c>
      <c r="E41" s="59">
        <f t="shared" ref="E41:P41" si="113">+D41</f>
        <v>-594.375</v>
      </c>
      <c r="F41" s="59">
        <f t="shared" si="113"/>
        <v>-594.375</v>
      </c>
      <c r="G41" s="59">
        <f t="shared" si="113"/>
        <v>-594.375</v>
      </c>
      <c r="H41" s="59">
        <f t="shared" si="113"/>
        <v>-594.375</v>
      </c>
      <c r="I41" s="59">
        <f t="shared" si="113"/>
        <v>-594.375</v>
      </c>
      <c r="J41" s="59">
        <f t="shared" si="113"/>
        <v>-594.375</v>
      </c>
      <c r="K41" s="59">
        <f t="shared" si="113"/>
        <v>-594.375</v>
      </c>
      <c r="L41" s="59">
        <f t="shared" si="113"/>
        <v>-594.375</v>
      </c>
      <c r="M41" s="59">
        <f t="shared" si="113"/>
        <v>-594.375</v>
      </c>
      <c r="N41" s="59">
        <f t="shared" si="113"/>
        <v>-594.375</v>
      </c>
      <c r="O41" s="59">
        <f t="shared" si="113"/>
        <v>-594.375</v>
      </c>
      <c r="P41" s="59">
        <f t="shared" si="113"/>
        <v>-594.375</v>
      </c>
      <c r="Q41" s="58">
        <f t="shared" si="24"/>
        <v>-7132.5</v>
      </c>
    </row>
    <row r="42" spans="1:50">
      <c r="A42" s="41" t="s">
        <v>45</v>
      </c>
      <c r="B42" s="43"/>
      <c r="C42" s="43"/>
      <c r="D42" s="178">
        <f>+SUM(D40:D41)</f>
        <v>-759.44166666666661</v>
      </c>
      <c r="E42" s="63">
        <f t="shared" ref="E42:O42" si="114">+SUM(E40:E41)</f>
        <v>-759.44166666666661</v>
      </c>
      <c r="F42" s="63">
        <f t="shared" si="114"/>
        <v>-759.44166666666661</v>
      </c>
      <c r="G42" s="63">
        <f t="shared" si="114"/>
        <v>-759.44166666666661</v>
      </c>
      <c r="H42" s="63">
        <f t="shared" si="114"/>
        <v>-759.44166666666661</v>
      </c>
      <c r="I42" s="63">
        <f t="shared" si="114"/>
        <v>-759.44166666666661</v>
      </c>
      <c r="J42" s="63">
        <f t="shared" si="114"/>
        <v>-759.44166666666661</v>
      </c>
      <c r="K42" s="63">
        <f t="shared" si="114"/>
        <v>-759.44166666666661</v>
      </c>
      <c r="L42" s="63">
        <f t="shared" si="114"/>
        <v>-759.44166666666661</v>
      </c>
      <c r="M42" s="63">
        <f t="shared" si="114"/>
        <v>-759.44166666666661</v>
      </c>
      <c r="N42" s="63">
        <f t="shared" si="114"/>
        <v>-759.44166666666661</v>
      </c>
      <c r="O42" s="63">
        <f t="shared" si="114"/>
        <v>-759.44166666666661</v>
      </c>
      <c r="P42" s="63">
        <f>+SUM(P40:P41)</f>
        <v>-759.44166666666661</v>
      </c>
      <c r="Q42" s="64">
        <f t="shared" si="24"/>
        <v>-9113.2999999999993</v>
      </c>
    </row>
    <row r="43" spans="1:50">
      <c r="A43" s="3" t="s">
        <v>48</v>
      </c>
      <c r="D43" s="179">
        <v>0</v>
      </c>
      <c r="E43" s="59">
        <f>+D43</f>
        <v>0</v>
      </c>
      <c r="F43" s="59">
        <f t="shared" ref="F43:P43" si="115">+E43</f>
        <v>0</v>
      </c>
      <c r="G43" s="59">
        <f t="shared" si="115"/>
        <v>0</v>
      </c>
      <c r="H43" s="59">
        <f t="shared" si="115"/>
        <v>0</v>
      </c>
      <c r="I43" s="59">
        <f t="shared" si="115"/>
        <v>0</v>
      </c>
      <c r="J43" s="59">
        <f t="shared" si="115"/>
        <v>0</v>
      </c>
      <c r="K43" s="59">
        <f t="shared" si="115"/>
        <v>0</v>
      </c>
      <c r="L43" s="59">
        <f t="shared" si="115"/>
        <v>0</v>
      </c>
      <c r="M43" s="59">
        <f t="shared" si="115"/>
        <v>0</v>
      </c>
      <c r="N43" s="59">
        <f t="shared" si="115"/>
        <v>0</v>
      </c>
      <c r="O43" s="59">
        <f t="shared" si="115"/>
        <v>0</v>
      </c>
      <c r="P43" s="59">
        <f t="shared" si="115"/>
        <v>0</v>
      </c>
      <c r="Q43" s="58">
        <f t="shared" si="24"/>
        <v>0</v>
      </c>
    </row>
    <row r="44" spans="1:50">
      <c r="A44" s="3" t="s">
        <v>159</v>
      </c>
      <c r="D44" s="179">
        <v>0</v>
      </c>
      <c r="E44" s="59">
        <f>+D44</f>
        <v>0</v>
      </c>
      <c r="F44" s="59">
        <f t="shared" ref="F44:P44" si="116">+E44</f>
        <v>0</v>
      </c>
      <c r="G44" s="59">
        <f t="shared" si="116"/>
        <v>0</v>
      </c>
      <c r="H44" s="59">
        <f t="shared" si="116"/>
        <v>0</v>
      </c>
      <c r="I44" s="59">
        <f t="shared" si="116"/>
        <v>0</v>
      </c>
      <c r="J44" s="59">
        <f t="shared" si="116"/>
        <v>0</v>
      </c>
      <c r="K44" s="59">
        <f t="shared" si="116"/>
        <v>0</v>
      </c>
      <c r="L44" s="59">
        <f t="shared" si="116"/>
        <v>0</v>
      </c>
      <c r="M44" s="59">
        <f t="shared" si="116"/>
        <v>0</v>
      </c>
      <c r="N44" s="59">
        <f t="shared" si="116"/>
        <v>0</v>
      </c>
      <c r="O44" s="59">
        <f t="shared" si="116"/>
        <v>0</v>
      </c>
      <c r="P44" s="59">
        <f t="shared" si="116"/>
        <v>0</v>
      </c>
      <c r="Q44" s="58">
        <f t="shared" si="24"/>
        <v>0</v>
      </c>
    </row>
    <row r="45" spans="1:50">
      <c r="A45" s="3" t="s">
        <v>19</v>
      </c>
      <c r="B45" s="44"/>
      <c r="C45" s="44"/>
      <c r="D45" s="184"/>
      <c r="E45" s="161"/>
      <c r="F45" s="161"/>
      <c r="G45" s="161"/>
      <c r="H45" s="161"/>
      <c r="I45" s="161"/>
      <c r="J45" s="161"/>
      <c r="K45" s="161"/>
      <c r="L45" s="161"/>
      <c r="M45" s="161"/>
      <c r="N45" s="161"/>
      <c r="O45" s="161"/>
      <c r="P45" s="161"/>
      <c r="Q45" s="58">
        <f t="shared" si="24"/>
        <v>0</v>
      </c>
    </row>
    <row r="46" spans="1:50">
      <c r="A46" s="41" t="s">
        <v>65</v>
      </c>
      <c r="B46" s="43"/>
      <c r="C46" s="43"/>
      <c r="D46" s="178">
        <f>SUM(D43:D45)</f>
        <v>0</v>
      </c>
      <c r="E46" s="63">
        <f t="shared" ref="E46:O46" si="117">SUM(E43:E45)</f>
        <v>0</v>
      </c>
      <c r="F46" s="63">
        <f t="shared" si="117"/>
        <v>0</v>
      </c>
      <c r="G46" s="63">
        <f t="shared" si="117"/>
        <v>0</v>
      </c>
      <c r="H46" s="63">
        <f t="shared" si="117"/>
        <v>0</v>
      </c>
      <c r="I46" s="63">
        <f t="shared" si="117"/>
        <v>0</v>
      </c>
      <c r="J46" s="63">
        <f t="shared" si="117"/>
        <v>0</v>
      </c>
      <c r="K46" s="63">
        <f t="shared" si="117"/>
        <v>0</v>
      </c>
      <c r="L46" s="63">
        <f t="shared" si="117"/>
        <v>0</v>
      </c>
      <c r="M46" s="63">
        <f t="shared" si="117"/>
        <v>0</v>
      </c>
      <c r="N46" s="63">
        <f t="shared" si="117"/>
        <v>0</v>
      </c>
      <c r="O46" s="63">
        <f t="shared" si="117"/>
        <v>0</v>
      </c>
      <c r="P46" s="63">
        <f>SUM(P43:P45)</f>
        <v>0</v>
      </c>
      <c r="Q46" s="64">
        <f t="shared" si="24"/>
        <v>0</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50">
      <c r="A47" s="3" t="s">
        <v>66</v>
      </c>
      <c r="B47" s="51"/>
      <c r="C47" s="51"/>
      <c r="D47" s="185"/>
      <c r="E47" s="162"/>
      <c r="F47" s="162"/>
      <c r="G47" s="162"/>
      <c r="H47" s="162"/>
      <c r="I47" s="162"/>
      <c r="J47" s="162"/>
      <c r="K47" s="162"/>
      <c r="L47" s="162"/>
      <c r="M47" s="162"/>
      <c r="N47" s="162"/>
      <c r="O47" s="162"/>
      <c r="P47" s="162"/>
      <c r="Q47" s="58">
        <f t="shared" si="24"/>
        <v>0</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50">
      <c r="A48" s="41" t="s">
        <v>156</v>
      </c>
      <c r="B48" s="43"/>
      <c r="C48" s="43"/>
      <c r="D48" s="178">
        <f>+D47</f>
        <v>0</v>
      </c>
      <c r="E48" s="63">
        <f t="shared" ref="E48:O48" si="118">+E47</f>
        <v>0</v>
      </c>
      <c r="F48" s="63">
        <f t="shared" si="118"/>
        <v>0</v>
      </c>
      <c r="G48" s="63">
        <f t="shared" si="118"/>
        <v>0</v>
      </c>
      <c r="H48" s="63">
        <f t="shared" si="118"/>
        <v>0</v>
      </c>
      <c r="I48" s="63">
        <f t="shared" si="118"/>
        <v>0</v>
      </c>
      <c r="J48" s="63">
        <f t="shared" si="118"/>
        <v>0</v>
      </c>
      <c r="K48" s="63">
        <f t="shared" si="118"/>
        <v>0</v>
      </c>
      <c r="L48" s="63">
        <f t="shared" si="118"/>
        <v>0</v>
      </c>
      <c r="M48" s="63">
        <f t="shared" si="118"/>
        <v>0</v>
      </c>
      <c r="N48" s="63">
        <f t="shared" si="118"/>
        <v>0</v>
      </c>
      <c r="O48" s="63">
        <f t="shared" si="118"/>
        <v>0</v>
      </c>
      <c r="P48" s="63">
        <f>+P47</f>
        <v>0</v>
      </c>
      <c r="Q48" s="64">
        <f t="shared" si="24"/>
        <v>0</v>
      </c>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c r="A49" s="41" t="s">
        <v>55</v>
      </c>
      <c r="B49" s="43"/>
      <c r="C49" s="43"/>
      <c r="D49" s="178">
        <f>-'Balance Sheet'!B43</f>
        <v>-11466.03</v>
      </c>
      <c r="E49" s="486">
        <f>+D49</f>
        <v>-11466.03</v>
      </c>
      <c r="F49" s="63">
        <f t="shared" ref="F49:P49" si="119">+E49</f>
        <v>-11466.03</v>
      </c>
      <c r="G49" s="63">
        <f t="shared" si="119"/>
        <v>-11466.03</v>
      </c>
      <c r="H49" s="63">
        <f t="shared" si="119"/>
        <v>-11466.03</v>
      </c>
      <c r="I49" s="63">
        <f t="shared" si="119"/>
        <v>-11466.03</v>
      </c>
      <c r="J49" s="63">
        <f t="shared" si="119"/>
        <v>-11466.03</v>
      </c>
      <c r="K49" s="63">
        <f t="shared" si="119"/>
        <v>-11466.03</v>
      </c>
      <c r="L49" s="63">
        <f t="shared" si="119"/>
        <v>-11466.03</v>
      </c>
      <c r="M49" s="63">
        <f t="shared" si="119"/>
        <v>-11466.03</v>
      </c>
      <c r="N49" s="63">
        <f t="shared" si="119"/>
        <v>-11466.03</v>
      </c>
      <c r="O49" s="63">
        <f t="shared" si="119"/>
        <v>-11466.03</v>
      </c>
      <c r="P49" s="63">
        <f t="shared" si="119"/>
        <v>-11466.03</v>
      </c>
      <c r="Q49" s="64">
        <f t="shared" si="24"/>
        <v>-137592.36000000002</v>
      </c>
    </row>
    <row r="50" spans="1:49">
      <c r="A50" s="3" t="s">
        <v>35</v>
      </c>
      <c r="B50" t="str">
        <f>+$A$53</f>
        <v>Dependent Care</v>
      </c>
      <c r="D50" s="179">
        <v>-15000</v>
      </c>
      <c r="E50" s="59"/>
      <c r="F50" s="59"/>
      <c r="G50" s="59"/>
      <c r="H50" s="70">
        <v>-15000</v>
      </c>
      <c r="I50" s="59"/>
      <c r="J50" s="59"/>
      <c r="K50" s="59"/>
      <c r="L50" s="70">
        <v>-15000</v>
      </c>
      <c r="M50" s="59"/>
      <c r="N50" s="70"/>
      <c r="O50" s="59"/>
      <c r="P50" s="70">
        <v>-15000</v>
      </c>
      <c r="Q50" s="58">
        <f t="shared" si="24"/>
        <v>-45000</v>
      </c>
    </row>
    <row r="51" spans="1:49">
      <c r="A51" s="3" t="s">
        <v>36</v>
      </c>
      <c r="B51" t="str">
        <f>+$A$53</f>
        <v>Dependent Care</v>
      </c>
      <c r="D51" s="70">
        <f>-25*40*4.33333333333333</f>
        <v>-4333.3333333333303</v>
      </c>
      <c r="E51" s="59">
        <f>+D51</f>
        <v>-4333.3333333333303</v>
      </c>
      <c r="F51" s="59">
        <f t="shared" ref="F51:P51" si="120">+E51</f>
        <v>-4333.3333333333303</v>
      </c>
      <c r="G51" s="59">
        <f t="shared" si="120"/>
        <v>-4333.3333333333303</v>
      </c>
      <c r="H51" s="59">
        <f t="shared" si="120"/>
        <v>-4333.3333333333303</v>
      </c>
      <c r="I51" s="59">
        <f t="shared" si="120"/>
        <v>-4333.3333333333303</v>
      </c>
      <c r="J51" s="59">
        <f t="shared" si="120"/>
        <v>-4333.3333333333303</v>
      </c>
      <c r="K51" s="59">
        <f t="shared" si="120"/>
        <v>-4333.3333333333303</v>
      </c>
      <c r="L51" s="59">
        <f t="shared" si="120"/>
        <v>-4333.3333333333303</v>
      </c>
      <c r="M51" s="59">
        <f t="shared" si="120"/>
        <v>-4333.3333333333303</v>
      </c>
      <c r="N51" s="59">
        <f t="shared" si="120"/>
        <v>-4333.3333333333303</v>
      </c>
      <c r="O51" s="59">
        <f t="shared" si="120"/>
        <v>-4333.3333333333303</v>
      </c>
      <c r="P51" s="59">
        <f t="shared" si="120"/>
        <v>-4333.3333333333303</v>
      </c>
      <c r="Q51" s="58">
        <f t="shared" si="24"/>
        <v>-51999.999999999949</v>
      </c>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spans="1:49">
      <c r="A52" s="3" t="s">
        <v>60</v>
      </c>
      <c r="B52" t="str">
        <f>+$A$53</f>
        <v>Dependent Care</v>
      </c>
      <c r="D52" s="183"/>
      <c r="E52" s="59"/>
      <c r="F52" s="59"/>
      <c r="G52" s="59"/>
      <c r="H52" s="59"/>
      <c r="I52" s="59"/>
      <c r="J52" s="59"/>
      <c r="K52" s="59"/>
      <c r="L52" s="59"/>
      <c r="M52" s="59"/>
      <c r="N52" s="59"/>
      <c r="O52" s="70"/>
      <c r="P52" s="70"/>
      <c r="Q52" s="58">
        <f>SUM(E52:P52)</f>
        <v>0</v>
      </c>
    </row>
    <row r="53" spans="1:49" s="1" customFormat="1">
      <c r="A53" s="41" t="s">
        <v>56</v>
      </c>
      <c r="B53" s="42"/>
      <c r="C53" s="42"/>
      <c r="D53" s="178">
        <f t="shared" ref="D53:O53" si="121">+SUM(D50:D52)</f>
        <v>-19333.333333333328</v>
      </c>
      <c r="E53" s="63">
        <f t="shared" si="121"/>
        <v>-4333.3333333333303</v>
      </c>
      <c r="F53" s="63">
        <f t="shared" si="121"/>
        <v>-4333.3333333333303</v>
      </c>
      <c r="G53" s="63">
        <f t="shared" si="121"/>
        <v>-4333.3333333333303</v>
      </c>
      <c r="H53" s="63">
        <f t="shared" si="121"/>
        <v>-19333.333333333328</v>
      </c>
      <c r="I53" s="63">
        <f t="shared" si="121"/>
        <v>-4333.3333333333303</v>
      </c>
      <c r="J53" s="63">
        <f t="shared" si="121"/>
        <v>-4333.3333333333303</v>
      </c>
      <c r="K53" s="63">
        <f t="shared" si="121"/>
        <v>-4333.3333333333303</v>
      </c>
      <c r="L53" s="63">
        <f t="shared" si="121"/>
        <v>-19333.333333333328</v>
      </c>
      <c r="M53" s="63">
        <f t="shared" si="121"/>
        <v>-4333.3333333333303</v>
      </c>
      <c r="N53" s="63">
        <f t="shared" si="121"/>
        <v>-4333.3333333333303</v>
      </c>
      <c r="O53" s="63">
        <f t="shared" si="121"/>
        <v>-4333.3333333333303</v>
      </c>
      <c r="P53" s="63">
        <f>+SUM(P50:P52)</f>
        <v>-19333.333333333328</v>
      </c>
      <c r="Q53" s="64">
        <f t="shared" si="24"/>
        <v>-96999.999999999956</v>
      </c>
    </row>
    <row r="54" spans="1:49">
      <c r="D54" s="183"/>
      <c r="E54" s="59"/>
      <c r="F54" s="59"/>
      <c r="G54" s="59"/>
      <c r="H54" s="59"/>
      <c r="I54" s="59"/>
      <c r="J54" s="59"/>
      <c r="K54" s="59"/>
      <c r="L54" s="59"/>
      <c r="M54" s="59"/>
      <c r="N54" s="59"/>
      <c r="O54" s="59"/>
      <c r="P54" s="59"/>
      <c r="Q54" s="58">
        <f t="shared" si="24"/>
        <v>0</v>
      </c>
    </row>
    <row r="55" spans="1:49" s="1" customFormat="1">
      <c r="A55" s="41" t="s">
        <v>57</v>
      </c>
      <c r="B55" s="42"/>
      <c r="C55" s="42"/>
      <c r="D55" s="178">
        <f t="shared" ref="D55:O55" si="122">+SUM(D54:D54)</f>
        <v>0</v>
      </c>
      <c r="E55" s="63">
        <f t="shared" si="122"/>
        <v>0</v>
      </c>
      <c r="F55" s="63">
        <f t="shared" si="122"/>
        <v>0</v>
      </c>
      <c r="G55" s="63">
        <f t="shared" si="122"/>
        <v>0</v>
      </c>
      <c r="H55" s="63">
        <f t="shared" si="122"/>
        <v>0</v>
      </c>
      <c r="I55" s="63">
        <f t="shared" si="122"/>
        <v>0</v>
      </c>
      <c r="J55" s="63">
        <f t="shared" si="122"/>
        <v>0</v>
      </c>
      <c r="K55" s="63">
        <f t="shared" si="122"/>
        <v>0</v>
      </c>
      <c r="L55" s="63">
        <f t="shared" si="122"/>
        <v>0</v>
      </c>
      <c r="M55" s="63">
        <f t="shared" si="122"/>
        <v>0</v>
      </c>
      <c r="N55" s="63">
        <f t="shared" si="122"/>
        <v>0</v>
      </c>
      <c r="O55" s="63">
        <f t="shared" si="122"/>
        <v>0</v>
      </c>
      <c r="P55" s="63">
        <f>+SUM(P54:P54)</f>
        <v>0</v>
      </c>
      <c r="Q55" s="64">
        <f t="shared" si="24"/>
        <v>0</v>
      </c>
    </row>
    <row r="56" spans="1:49">
      <c r="A56" s="3" t="s">
        <v>59</v>
      </c>
      <c r="D56" s="70">
        <v>-345.94</v>
      </c>
      <c r="E56" s="59">
        <f>+D56</f>
        <v>-345.94</v>
      </c>
      <c r="F56" s="59">
        <f t="shared" ref="F56:O56" si="123">+E56</f>
        <v>-345.94</v>
      </c>
      <c r="G56" s="59">
        <f t="shared" si="123"/>
        <v>-345.94</v>
      </c>
      <c r="H56" s="59">
        <f t="shared" si="123"/>
        <v>-345.94</v>
      </c>
      <c r="I56" s="59">
        <f t="shared" si="123"/>
        <v>-345.94</v>
      </c>
      <c r="J56" s="59">
        <f t="shared" si="123"/>
        <v>-345.94</v>
      </c>
      <c r="K56" s="59">
        <f t="shared" si="123"/>
        <v>-345.94</v>
      </c>
      <c r="L56" s="59">
        <f t="shared" si="123"/>
        <v>-345.94</v>
      </c>
      <c r="M56" s="59">
        <f t="shared" si="123"/>
        <v>-345.94</v>
      </c>
      <c r="N56" s="59">
        <f t="shared" si="123"/>
        <v>-345.94</v>
      </c>
      <c r="O56" s="59">
        <f t="shared" si="123"/>
        <v>-345.94</v>
      </c>
      <c r="P56" s="59">
        <v>0</v>
      </c>
      <c r="Q56" s="58">
        <f t="shared" si="24"/>
        <v>-3805.34</v>
      </c>
    </row>
    <row r="57" spans="1:49">
      <c r="A57" s="3" t="s">
        <v>167</v>
      </c>
      <c r="D57" s="179"/>
      <c r="E57" s="59"/>
      <c r="F57" s="59"/>
      <c r="G57" s="59"/>
      <c r="H57" s="59"/>
      <c r="I57" s="59"/>
      <c r="J57" s="59"/>
      <c r="K57" s="59"/>
      <c r="L57" s="59"/>
      <c r="M57" s="59"/>
      <c r="N57" s="59"/>
      <c r="O57" s="59"/>
      <c r="P57" s="59"/>
      <c r="Q57" s="58"/>
    </row>
    <row r="58" spans="1:49">
      <c r="A58" s="3" t="s">
        <v>168</v>
      </c>
      <c r="D58" s="179"/>
      <c r="E58" s="59"/>
      <c r="F58" s="59"/>
      <c r="G58" s="59"/>
      <c r="H58" s="59"/>
      <c r="I58" s="59"/>
      <c r="J58" s="59"/>
      <c r="K58" s="59"/>
      <c r="L58" s="59"/>
      <c r="M58" s="59"/>
      <c r="N58" s="59"/>
      <c r="O58" s="59"/>
      <c r="P58" s="59"/>
      <c r="Q58" s="58"/>
    </row>
    <row r="59" spans="1:49" s="1" customFormat="1">
      <c r="A59" s="41" t="s">
        <v>157</v>
      </c>
      <c r="B59" s="42"/>
      <c r="C59" s="42"/>
      <c r="D59" s="178">
        <f t="shared" ref="D59:O59" si="124">+SUM(D56:D56)</f>
        <v>-345.94</v>
      </c>
      <c r="E59" s="63">
        <f t="shared" si="124"/>
        <v>-345.94</v>
      </c>
      <c r="F59" s="63">
        <f t="shared" si="124"/>
        <v>-345.94</v>
      </c>
      <c r="G59" s="63">
        <f t="shared" si="124"/>
        <v>-345.94</v>
      </c>
      <c r="H59" s="63">
        <f t="shared" si="124"/>
        <v>-345.94</v>
      </c>
      <c r="I59" s="63">
        <f t="shared" si="124"/>
        <v>-345.94</v>
      </c>
      <c r="J59" s="63">
        <f t="shared" si="124"/>
        <v>-345.94</v>
      </c>
      <c r="K59" s="63">
        <f t="shared" si="124"/>
        <v>-345.94</v>
      </c>
      <c r="L59" s="63">
        <f t="shared" si="124"/>
        <v>-345.94</v>
      </c>
      <c r="M59" s="63">
        <f t="shared" si="124"/>
        <v>-345.94</v>
      </c>
      <c r="N59" s="63">
        <f t="shared" si="124"/>
        <v>-345.94</v>
      </c>
      <c r="O59" s="63">
        <f t="shared" si="124"/>
        <v>-345.94</v>
      </c>
      <c r="P59" s="63">
        <f>+SUM(P56:P56)</f>
        <v>0</v>
      </c>
      <c r="Q59" s="64">
        <f>SUM(E59:P59)</f>
        <v>-3805.34</v>
      </c>
    </row>
    <row r="60" spans="1:49">
      <c r="A60" s="3" t="s">
        <v>115</v>
      </c>
      <c r="D60" s="186"/>
      <c r="E60" s="67"/>
      <c r="F60" s="67"/>
      <c r="G60" s="67"/>
      <c r="H60" s="69"/>
      <c r="I60" s="69">
        <v>-4000</v>
      </c>
      <c r="J60" s="69">
        <v>-1000</v>
      </c>
      <c r="K60" s="69">
        <v>-2000</v>
      </c>
      <c r="L60" s="67"/>
      <c r="M60" s="67"/>
      <c r="N60" s="67"/>
      <c r="O60" s="69">
        <v>-4000</v>
      </c>
      <c r="P60" s="69">
        <v>-4000</v>
      </c>
      <c r="Q60" s="68">
        <f>SUM(E60:P60)</f>
        <v>-15000</v>
      </c>
    </row>
    <row r="61" spans="1:49" s="1" customFormat="1">
      <c r="A61" s="41" t="s">
        <v>68</v>
      </c>
      <c r="B61" s="42"/>
      <c r="C61" s="42"/>
      <c r="D61" s="178">
        <f t="shared" ref="D61:O61" si="125">+SUM(D60:D60)</f>
        <v>0</v>
      </c>
      <c r="E61" s="63">
        <f t="shared" si="125"/>
        <v>0</v>
      </c>
      <c r="F61" s="63">
        <f t="shared" si="125"/>
        <v>0</v>
      </c>
      <c r="G61" s="63">
        <f t="shared" si="125"/>
        <v>0</v>
      </c>
      <c r="H61" s="63">
        <f t="shared" si="125"/>
        <v>0</v>
      </c>
      <c r="I61" s="63">
        <f t="shared" si="125"/>
        <v>-4000</v>
      </c>
      <c r="J61" s="63">
        <f t="shared" si="125"/>
        <v>-1000</v>
      </c>
      <c r="K61" s="63">
        <f t="shared" si="125"/>
        <v>-2000</v>
      </c>
      <c r="L61" s="63">
        <f t="shared" si="125"/>
        <v>0</v>
      </c>
      <c r="M61" s="63">
        <f t="shared" si="125"/>
        <v>0</v>
      </c>
      <c r="N61" s="63">
        <f t="shared" si="125"/>
        <v>0</v>
      </c>
      <c r="O61" s="63">
        <f t="shared" si="125"/>
        <v>-4000</v>
      </c>
      <c r="P61" s="63">
        <f>+SUM(P60:P60)</f>
        <v>-4000</v>
      </c>
      <c r="Q61" s="64">
        <f>SUM(E61:P61)</f>
        <v>-15000</v>
      </c>
    </row>
    <row r="62" spans="1:49" s="1" customFormat="1">
      <c r="A62" s="46" t="s">
        <v>155</v>
      </c>
      <c r="B62" s="45"/>
      <c r="C62" s="45"/>
      <c r="D62" s="187"/>
      <c r="E62" s="61"/>
      <c r="F62" s="61"/>
      <c r="G62" s="60"/>
      <c r="H62" s="69">
        <v>-30000</v>
      </c>
      <c r="I62" s="60"/>
      <c r="J62" s="61"/>
      <c r="K62" s="61"/>
      <c r="L62" s="61"/>
      <c r="M62" s="61"/>
      <c r="N62" s="61"/>
      <c r="O62" s="61"/>
      <c r="P62" s="61"/>
      <c r="Q62" s="62"/>
    </row>
    <row r="63" spans="1:49" s="1" customFormat="1">
      <c r="A63" s="57" t="s">
        <v>505</v>
      </c>
      <c r="B63" s="57"/>
      <c r="C63" s="57"/>
      <c r="D63" s="188">
        <f t="shared" ref="D63:O63" si="126">+D61+D59+D55+D53+D49+D39+D36+D17+D46+D48+D42+D62+D26</f>
        <v>-42181.439999999995</v>
      </c>
      <c r="E63" s="65">
        <f t="shared" si="126"/>
        <v>-38439.42</v>
      </c>
      <c r="F63" s="65">
        <f t="shared" si="126"/>
        <v>-20939.419999999991</v>
      </c>
      <c r="G63" s="71">
        <f t="shared" si="126"/>
        <v>-20939.419999999991</v>
      </c>
      <c r="H63" s="71">
        <f t="shared" si="126"/>
        <v>-65939.42</v>
      </c>
      <c r="I63" s="71">
        <f t="shared" si="126"/>
        <v>-24939.419999999991</v>
      </c>
      <c r="J63" s="65">
        <f t="shared" si="126"/>
        <v>-21939.419999999991</v>
      </c>
      <c r="K63" s="65">
        <f t="shared" si="126"/>
        <v>-40439.42</v>
      </c>
      <c r="L63" s="65">
        <f t="shared" si="126"/>
        <v>-35939.419999999991</v>
      </c>
      <c r="M63" s="65">
        <f t="shared" si="126"/>
        <v>-20939.419999999991</v>
      </c>
      <c r="N63" s="65">
        <f t="shared" si="126"/>
        <v>-20939.419999999991</v>
      </c>
      <c r="O63" s="65">
        <f t="shared" si="126"/>
        <v>-24939.419999999991</v>
      </c>
      <c r="P63" s="65">
        <f>+P61+P59+P55+P53+P49+P39+P36+P17+P46+P48+P42+P62+P26</f>
        <v>-48392.38</v>
      </c>
      <c r="Q63" s="66">
        <f>SUM(E63:P63)</f>
        <v>-384725.99999999988</v>
      </c>
      <c r="S63" s="65">
        <f>+Q63*(1+S64)</f>
        <v>-403962.29999999987</v>
      </c>
      <c r="T63" s="65">
        <f>+S63*(1+T64)</f>
        <v>-424160.41499999986</v>
      </c>
      <c r="U63" s="65">
        <f t="shared" ref="U63:AB63" si="127">+T63*(1+U64)</f>
        <v>-445368.43574999989</v>
      </c>
      <c r="V63" s="65">
        <f t="shared" si="127"/>
        <v>-467636.85753749992</v>
      </c>
      <c r="W63" s="65">
        <f t="shared" si="127"/>
        <v>-491018.70041437494</v>
      </c>
      <c r="X63" s="65">
        <f t="shared" si="127"/>
        <v>-515569.63543509372</v>
      </c>
      <c r="Y63" s="65">
        <f t="shared" si="127"/>
        <v>-541348.11720684846</v>
      </c>
      <c r="Z63" s="65">
        <f t="shared" si="127"/>
        <v>-568415.52306719089</v>
      </c>
      <c r="AA63" s="65">
        <f t="shared" si="127"/>
        <v>-596836.29922055046</v>
      </c>
      <c r="AB63" s="65">
        <f t="shared" si="127"/>
        <v>-626678.11418157804</v>
      </c>
      <c r="AC63" s="65">
        <f t="shared" ref="AC63" si="128">+AB63*(1+AC64)</f>
        <v>-658012.01989065693</v>
      </c>
      <c r="AD63" s="65">
        <f t="shared" ref="AD63" si="129">+AC63*(1+AD64)</f>
        <v>-690912.62088518986</v>
      </c>
      <c r="AE63" s="65">
        <f t="shared" ref="AE63" si="130">+AD63*(1+AE64)</f>
        <v>-725458.25192944938</v>
      </c>
      <c r="AF63" s="65">
        <f t="shared" ref="AF63" si="131">+AE63*(1+AF64)</f>
        <v>-761731.16452592192</v>
      </c>
      <c r="AG63" s="65">
        <f t="shared" ref="AG63" si="132">+AF63*(1+AG64)</f>
        <v>-799817.72275221802</v>
      </c>
      <c r="AH63" s="65">
        <f t="shared" ref="AH63" si="133">+AG63*(1+AH64)</f>
        <v>-839808.6088898289</v>
      </c>
      <c r="AI63" s="65">
        <f t="shared" ref="AI63" si="134">+AH63*(1+AI64)</f>
        <v>-881799.03933432035</v>
      </c>
      <c r="AJ63" s="65">
        <f t="shared" ref="AJ63" si="135">+AI63*(1+AJ64)</f>
        <v>-925888.99130103644</v>
      </c>
      <c r="AK63" s="65">
        <f t="shared" ref="AK63" si="136">+AJ63*(1+AK64)</f>
        <v>-972183.44086608826</v>
      </c>
      <c r="AL63" s="65">
        <f t="shared" ref="AL63" si="137">+AK63*(1+AL64)</f>
        <v>-1020792.6129093927</v>
      </c>
    </row>
    <row r="64" spans="1:49">
      <c r="A64" t="s">
        <v>52</v>
      </c>
      <c r="D64" s="183">
        <f t="shared" ref="D64:Q64" si="138">SUMIF($C$17:$C$63,"Debt Interest",D17:D63)</f>
        <v>-4229.5249999999996</v>
      </c>
      <c r="E64" s="59">
        <f t="shared" si="138"/>
        <v>-4229.5249999999996</v>
      </c>
      <c r="F64" s="59">
        <f t="shared" si="138"/>
        <v>-4229.5249999999996</v>
      </c>
      <c r="G64" s="59">
        <f t="shared" si="138"/>
        <v>-4229.5249999999996</v>
      </c>
      <c r="H64" s="59">
        <f t="shared" si="138"/>
        <v>-4229.5249999999996</v>
      </c>
      <c r="I64" s="59">
        <f t="shared" si="138"/>
        <v>-4229.5249999999996</v>
      </c>
      <c r="J64" s="59">
        <f t="shared" si="138"/>
        <v>-4229.5249999999996</v>
      </c>
      <c r="K64" s="59">
        <f t="shared" si="138"/>
        <v>-4229.5249999999996</v>
      </c>
      <c r="L64" s="59">
        <f t="shared" si="138"/>
        <v>-4229.5249999999996</v>
      </c>
      <c r="M64" s="59">
        <f t="shared" si="138"/>
        <v>-4229.5249999999996</v>
      </c>
      <c r="N64" s="59">
        <f t="shared" si="138"/>
        <v>-4229.5249999999996</v>
      </c>
      <c r="O64" s="59">
        <f t="shared" si="138"/>
        <v>-4229.5249999999996</v>
      </c>
      <c r="P64" s="59">
        <f t="shared" si="138"/>
        <v>-4229.5249999999996</v>
      </c>
      <c r="Q64" s="59">
        <f t="shared" si="138"/>
        <v>-50754.299999999996</v>
      </c>
      <c r="R64" t="s">
        <v>731</v>
      </c>
      <c r="S64" s="1008">
        <v>0.05</v>
      </c>
      <c r="T64" s="1008">
        <f>+S64</f>
        <v>0.05</v>
      </c>
      <c r="U64" s="1008">
        <f t="shared" ref="U64:AB64" si="139">+T64</f>
        <v>0.05</v>
      </c>
      <c r="V64" s="1008">
        <f t="shared" si="139"/>
        <v>0.05</v>
      </c>
      <c r="W64" s="1008">
        <f t="shared" si="139"/>
        <v>0.05</v>
      </c>
      <c r="X64" s="1008">
        <f t="shared" si="139"/>
        <v>0.05</v>
      </c>
      <c r="Y64" s="1008">
        <f t="shared" si="139"/>
        <v>0.05</v>
      </c>
      <c r="Z64" s="1008">
        <f t="shared" si="139"/>
        <v>0.05</v>
      </c>
      <c r="AA64" s="1008">
        <f t="shared" si="139"/>
        <v>0.05</v>
      </c>
      <c r="AB64" s="1008">
        <f t="shared" si="139"/>
        <v>0.05</v>
      </c>
      <c r="AC64" s="1008">
        <f t="shared" ref="AC64" si="140">+AB64</f>
        <v>0.05</v>
      </c>
      <c r="AD64" s="1008">
        <f t="shared" ref="AD64" si="141">+AC64</f>
        <v>0.05</v>
      </c>
      <c r="AE64" s="1008">
        <f t="shared" ref="AE64" si="142">+AD64</f>
        <v>0.05</v>
      </c>
      <c r="AF64" s="1008">
        <f t="shared" ref="AF64" si="143">+AE64</f>
        <v>0.05</v>
      </c>
      <c r="AG64" s="1008">
        <f t="shared" ref="AG64" si="144">+AF64</f>
        <v>0.05</v>
      </c>
      <c r="AH64" s="1008">
        <f t="shared" ref="AH64" si="145">+AG64</f>
        <v>0.05</v>
      </c>
      <c r="AI64" s="1008">
        <f t="shared" ref="AI64" si="146">+AH64</f>
        <v>0.05</v>
      </c>
      <c r="AJ64" s="1008">
        <f t="shared" ref="AJ64" si="147">+AI64</f>
        <v>0.05</v>
      </c>
      <c r="AK64" s="1008">
        <f t="shared" ref="AK64" si="148">+AJ64</f>
        <v>0.05</v>
      </c>
      <c r="AL64" s="1008">
        <f t="shared" ref="AL64" si="149">+AK64</f>
        <v>0.05</v>
      </c>
    </row>
    <row r="65" spans="1:82">
      <c r="A65" t="s">
        <v>62</v>
      </c>
      <c r="D65" s="183">
        <f>+D63-D64</f>
        <v>-37951.914999999994</v>
      </c>
      <c r="E65" s="59">
        <f t="shared" ref="E65:Q65" si="150">+E63-E64</f>
        <v>-34209.894999999997</v>
      </c>
      <c r="F65" s="59">
        <f t="shared" si="150"/>
        <v>-16709.89499999999</v>
      </c>
      <c r="G65" s="59">
        <f t="shared" si="150"/>
        <v>-16709.89499999999</v>
      </c>
      <c r="H65" s="59">
        <f t="shared" si="150"/>
        <v>-61709.894999999997</v>
      </c>
      <c r="I65" s="59">
        <f t="shared" si="150"/>
        <v>-20709.89499999999</v>
      </c>
      <c r="J65" s="59">
        <f t="shared" si="150"/>
        <v>-17709.89499999999</v>
      </c>
      <c r="K65" s="59">
        <f t="shared" si="150"/>
        <v>-36209.894999999997</v>
      </c>
      <c r="L65" s="59">
        <f t="shared" si="150"/>
        <v>-31709.89499999999</v>
      </c>
      <c r="M65" s="59">
        <f t="shared" si="150"/>
        <v>-16709.89499999999</v>
      </c>
      <c r="N65" s="59">
        <f t="shared" si="150"/>
        <v>-16709.89499999999</v>
      </c>
      <c r="O65" s="59">
        <f t="shared" si="150"/>
        <v>-20709.89499999999</v>
      </c>
      <c r="P65" s="59">
        <f>+P63-P64</f>
        <v>-44162.854999999996</v>
      </c>
      <c r="Q65" s="59">
        <f t="shared" si="150"/>
        <v>-333971.6999999999</v>
      </c>
    </row>
    <row r="66" spans="1:82">
      <c r="D66" s="183"/>
      <c r="E66" s="59"/>
      <c r="F66" s="59"/>
      <c r="G66" s="59"/>
      <c r="H66" s="59"/>
      <c r="I66" s="59"/>
      <c r="J66" s="59"/>
      <c r="K66" s="59"/>
      <c r="L66" s="59"/>
      <c r="M66" s="59"/>
      <c r="N66" s="59"/>
      <c r="O66" s="59"/>
      <c r="P66" s="59"/>
      <c r="Q66" s="59"/>
    </row>
    <row r="67" spans="1:82">
      <c r="A67" s="55" t="s">
        <v>81</v>
      </c>
      <c r="B67" s="55"/>
      <c r="C67" s="55"/>
      <c r="D67" s="189">
        <f t="shared" ref="D67:AA67" si="151">+D16+D63</f>
        <v>193661.04840657217</v>
      </c>
      <c r="E67" s="71">
        <f>+E16+E63</f>
        <v>-19347.299876359019</v>
      </c>
      <c r="F67" s="71">
        <f t="shared" si="151"/>
        <v>-1871.9828559612033</v>
      </c>
      <c r="G67" s="71">
        <f t="shared" si="151"/>
        <v>-1928.6550084098744</v>
      </c>
      <c r="H67" s="71">
        <f t="shared" si="151"/>
        <v>-46990.203481818593</v>
      </c>
      <c r="I67" s="71">
        <f t="shared" si="151"/>
        <v>-6000.7540868415126</v>
      </c>
      <c r="J67" s="71">
        <f t="shared" si="151"/>
        <v>-3029.2555612500473</v>
      </c>
      <c r="K67" s="71">
        <f t="shared" si="151"/>
        <v>-21574.130873810242</v>
      </c>
      <c r="L67" s="71">
        <f t="shared" si="151"/>
        <v>-17096.471499362167</v>
      </c>
      <c r="M67" s="71">
        <f t="shared" si="151"/>
        <v>-2101.3859026210921</v>
      </c>
      <c r="N67" s="71">
        <f t="shared" si="151"/>
        <v>-2110.9302989729113</v>
      </c>
      <c r="O67" s="71">
        <f t="shared" si="151"/>
        <v>-6121.8544707211367</v>
      </c>
      <c r="P67" s="71">
        <f t="shared" ca="1" si="151"/>
        <v>192754.73328069784</v>
      </c>
      <c r="Q67" s="71">
        <f t="shared" ca="1" si="151"/>
        <v>66338.315515958122</v>
      </c>
      <c r="R67" s="73">
        <f ca="1">12100/Q67</f>
        <v>0.18239836067422099</v>
      </c>
      <c r="S67" s="71">
        <f t="shared" ca="1" si="151"/>
        <v>69945.959982513625</v>
      </c>
      <c r="T67" s="71">
        <f ca="1">+T16+T63</f>
        <v>74337.971862982726</v>
      </c>
      <c r="U67" s="71">
        <f t="shared" ca="1" si="151"/>
        <v>78967.300379594031</v>
      </c>
      <c r="V67" s="71">
        <f t="shared" ca="1" si="151"/>
        <v>83845.933460641245</v>
      </c>
      <c r="W67" s="71">
        <f t="shared" ca="1" si="151"/>
        <v>88986.440456400742</v>
      </c>
      <c r="X67" s="71">
        <f t="shared" ca="1" si="151"/>
        <v>94401.999409562501</v>
      </c>
      <c r="Y67" s="71">
        <f t="shared" ca="1" si="151"/>
        <v>99904.022334534209</v>
      </c>
      <c r="Z67" s="71">
        <f t="shared" ca="1" si="151"/>
        <v>105053.19135198242</v>
      </c>
      <c r="AA67" s="71">
        <f t="shared" ca="1" si="151"/>
        <v>110022.92336389888</v>
      </c>
      <c r="AB67" s="71">
        <f ca="1">+AB16+AB63</f>
        <v>115236.59436113609</v>
      </c>
      <c r="AC67" s="71">
        <f t="shared" ref="AC67:AL67" ca="1" si="152">+AC16+AC63</f>
        <v>120706.45671675412</v>
      </c>
      <c r="AD67" s="71">
        <f t="shared" ca="1" si="152"/>
        <v>126445.38777638366</v>
      </c>
      <c r="AE67" s="71">
        <f t="shared" ca="1" si="152"/>
        <v>132466.92211339332</v>
      </c>
      <c r="AF67" s="71">
        <f t="shared" ca="1" si="152"/>
        <v>138785.28547567746</v>
      </c>
      <c r="AG67" s="71">
        <f t="shared" ca="1" si="152"/>
        <v>145415.43049816613</v>
      </c>
      <c r="AH67" s="71">
        <f t="shared" ca="1" si="152"/>
        <v>152373.07428213337</v>
      </c>
      <c r="AI67" s="71">
        <f t="shared" ca="1" si="152"/>
        <v>159674.73793976498</v>
      </c>
      <c r="AJ67" s="71">
        <f t="shared" ca="1" si="152"/>
        <v>167337.78820365923</v>
      </c>
      <c r="AK67" s="71">
        <f t="shared" ca="1" si="152"/>
        <v>175380.48121628095</v>
      </c>
      <c r="AL67" s="71">
        <f t="shared" ca="1" si="152"/>
        <v>183822.00860852818</v>
      </c>
      <c r="AM67" s="73"/>
      <c r="AN67" s="73"/>
      <c r="AO67" s="73"/>
      <c r="AP67" s="73"/>
      <c r="AQ67" s="73"/>
      <c r="AR67" s="73"/>
      <c r="AS67" s="73"/>
      <c r="AT67" s="73"/>
      <c r="AU67" s="73"/>
      <c r="AV67" s="73"/>
      <c r="AW67" s="73"/>
    </row>
    <row r="68" spans="1:82">
      <c r="A68" t="s">
        <v>471</v>
      </c>
      <c r="D68" s="59">
        <f t="shared" ref="D68" si="153">+D10+D63</f>
        <v>193272.73396907217</v>
      </c>
      <c r="E68" s="59">
        <f>+E10+E63</f>
        <v>-19625.890360824738</v>
      </c>
      <c r="F68" s="59">
        <f t="shared" ref="F68:P68" si="154">+F10+F63</f>
        <v>-2125.890360824731</v>
      </c>
      <c r="G68" s="59">
        <f t="shared" si="154"/>
        <v>-2125.890360824731</v>
      </c>
      <c r="H68" s="59">
        <f t="shared" si="154"/>
        <v>-47125.890360824735</v>
      </c>
      <c r="I68" s="59">
        <f t="shared" si="154"/>
        <v>-6125.890360824731</v>
      </c>
      <c r="J68" s="59">
        <f t="shared" si="154"/>
        <v>-3125.890360824731</v>
      </c>
      <c r="K68" s="59">
        <f t="shared" si="154"/>
        <v>-21625.890360824738</v>
      </c>
      <c r="L68" s="59">
        <f t="shared" si="154"/>
        <v>-17125.890360824731</v>
      </c>
      <c r="M68" s="59">
        <f t="shared" si="154"/>
        <v>-2125.890360824731</v>
      </c>
      <c r="N68" s="59">
        <f t="shared" si="154"/>
        <v>-2125.890360824731</v>
      </c>
      <c r="O68" s="59">
        <f t="shared" si="154"/>
        <v>-6125.890360824731</v>
      </c>
      <c r="P68" s="59">
        <f t="shared" si="154"/>
        <v>187061.79396907217</v>
      </c>
      <c r="Q68" s="59"/>
    </row>
    <row r="69" spans="1:82">
      <c r="D69" s="59"/>
      <c r="E69" s="59"/>
      <c r="F69" s="59"/>
      <c r="G69" s="59"/>
      <c r="H69" s="59"/>
      <c r="I69" s="59"/>
      <c r="J69" s="59"/>
      <c r="K69" s="59"/>
      <c r="L69" s="59"/>
      <c r="M69" s="59"/>
      <c r="N69" s="59"/>
      <c r="O69" s="59"/>
      <c r="P69" s="59"/>
      <c r="Q69" s="59">
        <f>Q10+Q63</f>
        <v>57677.000000000116</v>
      </c>
    </row>
    <row r="70" spans="1:82">
      <c r="A70" s="554" t="s">
        <v>453</v>
      </c>
      <c r="B70" s="555"/>
      <c r="C70" s="555"/>
      <c r="D70" s="556"/>
      <c r="E70" s="556"/>
      <c r="F70" s="556"/>
      <c r="G70" s="556"/>
      <c r="H70" s="556"/>
      <c r="I70" s="556"/>
      <c r="J70" s="556"/>
      <c r="K70" s="556"/>
      <c r="L70" s="556"/>
      <c r="M70" s="556"/>
      <c r="N70" s="556"/>
      <c r="O70" s="556"/>
      <c r="P70" s="556"/>
      <c r="Q70" s="556"/>
    </row>
    <row r="71" spans="1:82">
      <c r="A71" s="169" t="s">
        <v>444</v>
      </c>
      <c r="B71" s="169"/>
      <c r="C71" s="557">
        <v>1</v>
      </c>
      <c r="D71" s="59"/>
      <c r="E71" s="59"/>
      <c r="F71" s="59"/>
      <c r="G71" s="59"/>
      <c r="H71" s="59"/>
      <c r="I71" s="59"/>
      <c r="J71" s="59"/>
      <c r="K71" s="59"/>
      <c r="L71" s="59"/>
      <c r="M71" s="59"/>
      <c r="N71" s="59"/>
      <c r="O71" s="59"/>
      <c r="P71" s="59"/>
      <c r="Q71" s="59"/>
      <c r="AX71" s="1"/>
    </row>
    <row r="72" spans="1:82" ht="25">
      <c r="A72" s="574" t="s">
        <v>551</v>
      </c>
      <c r="B72" s="574"/>
      <c r="D72" s="59"/>
      <c r="E72" s="59"/>
      <c r="F72" s="59"/>
      <c r="G72" s="59"/>
      <c r="H72" s="59"/>
      <c r="I72" s="59"/>
      <c r="J72" s="59"/>
      <c r="K72" s="59"/>
      <c r="L72" s="59"/>
      <c r="M72" s="59"/>
      <c r="N72" s="59"/>
      <c r="O72" s="59"/>
      <c r="P72" s="59"/>
      <c r="Q72" s="59"/>
      <c r="AX72" s="131" t="s">
        <v>475</v>
      </c>
      <c r="AY72" s="131"/>
      <c r="AZ72" s="131"/>
      <c r="BA72" s="131"/>
      <c r="BB72" s="131"/>
      <c r="BC72" s="131"/>
      <c r="BD72" s="131"/>
      <c r="BE72" s="131"/>
      <c r="BF72" s="131"/>
      <c r="BG72" s="131"/>
      <c r="BH72" s="131"/>
      <c r="BI72" s="131"/>
      <c r="BJ72" s="131"/>
      <c r="BK72" s="131"/>
      <c r="BL72" s="131"/>
      <c r="BM72" s="131"/>
      <c r="BN72" s="131"/>
      <c r="BO72" s="131"/>
      <c r="BP72" s="131"/>
      <c r="BQ72" s="131"/>
      <c r="BR72" s="131"/>
      <c r="BS72" s="131"/>
      <c r="BT72" s="131"/>
      <c r="BU72" s="131"/>
      <c r="BV72" s="131"/>
      <c r="BW72" s="131"/>
      <c r="BX72" s="131"/>
      <c r="BY72" s="131"/>
      <c r="BZ72" s="131"/>
      <c r="CA72" s="131"/>
      <c r="CB72" s="131"/>
      <c r="CC72" s="131"/>
      <c r="CD72" s="131"/>
    </row>
    <row r="73" spans="1:82" ht="25">
      <c r="A73" s="1015" t="s">
        <v>744</v>
      </c>
      <c r="B73" s="1015"/>
      <c r="C73" s="1016"/>
      <c r="D73" s="1017"/>
      <c r="E73" s="1017"/>
      <c r="F73" s="1017"/>
      <c r="G73" s="1017"/>
      <c r="H73" s="1017"/>
      <c r="I73" s="1017"/>
      <c r="J73" s="1017"/>
      <c r="K73" s="1017"/>
      <c r="L73" s="1017"/>
      <c r="M73" s="1017"/>
      <c r="N73" s="1017"/>
      <c r="O73" s="1017"/>
      <c r="P73" s="1017"/>
      <c r="Q73" s="1017"/>
      <c r="AX73" s="1014"/>
      <c r="AY73" s="1014"/>
      <c r="AZ73" s="1014"/>
      <c r="BA73" s="1014"/>
      <c r="BB73" s="1014"/>
      <c r="BC73" s="1014"/>
      <c r="BD73" s="1014"/>
      <c r="BE73" s="131"/>
      <c r="BF73" s="131"/>
      <c r="BG73" s="131"/>
      <c r="BH73" s="131"/>
      <c r="BI73" s="131"/>
      <c r="BJ73" s="131"/>
      <c r="BK73" s="131"/>
      <c r="BL73" s="131"/>
      <c r="BM73" s="131"/>
      <c r="BN73" s="131"/>
      <c r="BO73" s="131"/>
      <c r="BP73" s="131"/>
      <c r="BQ73" s="1014"/>
      <c r="BR73" s="1014"/>
      <c r="BS73" s="131"/>
      <c r="BT73" s="131"/>
      <c r="BU73" s="131"/>
      <c r="BV73" s="131"/>
      <c r="BW73" s="131"/>
      <c r="BX73" s="131"/>
      <c r="BY73" s="131"/>
      <c r="BZ73" s="131"/>
      <c r="CA73" s="131"/>
      <c r="CB73" s="131"/>
      <c r="CC73" s="131"/>
      <c r="CD73" s="131"/>
    </row>
    <row r="74" spans="1:82">
      <c r="B74" s="174" t="s">
        <v>160</v>
      </c>
      <c r="D74" s="174" t="s">
        <v>23</v>
      </c>
      <c r="E74" s="59"/>
      <c r="F74" s="59"/>
      <c r="G74" s="59"/>
      <c r="H74" s="59"/>
      <c r="I74" s="59"/>
      <c r="J74" s="59"/>
      <c r="K74" s="59"/>
      <c r="L74" s="59"/>
      <c r="M74" s="59"/>
      <c r="N74" s="59"/>
      <c r="O74" s="59"/>
      <c r="P74" s="59"/>
      <c r="Q74" s="59"/>
      <c r="BE74" s="1005" t="str">
        <f>+A83</f>
        <v>Immediate - Ending</v>
      </c>
      <c r="BF74" s="1006"/>
      <c r="BG74" s="1006"/>
      <c r="BH74" s="1006"/>
      <c r="BI74" s="1006"/>
      <c r="BJ74" s="1006"/>
      <c r="BK74" s="1006"/>
      <c r="BL74" s="1006"/>
      <c r="BM74" s="1006"/>
      <c r="BN74" s="1006"/>
      <c r="BO74" s="1006"/>
      <c r="BP74" s="1006"/>
      <c r="BS74" s="1005" t="str">
        <f>A82</f>
        <v>Move cash from Short-Term to Immediate</v>
      </c>
      <c r="BT74" s="1006"/>
      <c r="BU74" s="1006"/>
      <c r="BV74" s="1006"/>
      <c r="BW74" s="1006"/>
      <c r="BX74" s="1006"/>
      <c r="BY74" s="1006"/>
      <c r="BZ74" s="1006"/>
      <c r="CA74" s="1006"/>
      <c r="CB74" s="1006"/>
      <c r="CC74" s="1006"/>
      <c r="CD74" s="1006"/>
    </row>
    <row r="75" spans="1:82">
      <c r="B75" s="174"/>
      <c r="D75" s="174"/>
      <c r="E75" s="59"/>
      <c r="F75" s="59"/>
      <c r="G75" s="59"/>
      <c r="H75" s="59"/>
      <c r="I75" s="59"/>
      <c r="J75" s="59"/>
      <c r="K75" s="59"/>
      <c r="L75" s="59"/>
      <c r="M75" s="59"/>
      <c r="N75" s="59"/>
      <c r="O75" s="59"/>
      <c r="P75" s="59"/>
      <c r="Q75" s="59"/>
      <c r="AZ75" s="44" t="s">
        <v>476</v>
      </c>
      <c r="BA75" s="44"/>
      <c r="BE75" t="str">
        <f t="shared" ref="BE75:BP75" si="155">+E5</f>
        <v>January</v>
      </c>
      <c r="BF75" t="str">
        <f t="shared" si="155"/>
        <v>February</v>
      </c>
      <c r="BG75" t="str">
        <f t="shared" si="155"/>
        <v>March</v>
      </c>
      <c r="BH75" t="str">
        <f t="shared" si="155"/>
        <v>April</v>
      </c>
      <c r="BI75" t="str">
        <f t="shared" si="155"/>
        <v xml:space="preserve">May </v>
      </c>
      <c r="BJ75" t="str">
        <f t="shared" si="155"/>
        <v>June</v>
      </c>
      <c r="BK75" t="str">
        <f t="shared" si="155"/>
        <v>July</v>
      </c>
      <c r="BL75" t="str">
        <f t="shared" si="155"/>
        <v xml:space="preserve">August </v>
      </c>
      <c r="BM75" t="str">
        <f t="shared" si="155"/>
        <v>September</v>
      </c>
      <c r="BN75" t="str">
        <f t="shared" si="155"/>
        <v>October</v>
      </c>
      <c r="BO75" t="str">
        <f t="shared" si="155"/>
        <v>November</v>
      </c>
      <c r="BP75" t="str">
        <f t="shared" si="155"/>
        <v>December</v>
      </c>
      <c r="BS75" s="51" t="str">
        <f t="shared" ref="BS75:CD75" si="156">BE75</f>
        <v>January</v>
      </c>
      <c r="BT75" s="51" t="str">
        <f t="shared" si="156"/>
        <v>February</v>
      </c>
      <c r="BU75" s="51" t="str">
        <f t="shared" si="156"/>
        <v>March</v>
      </c>
      <c r="BV75" s="51" t="str">
        <f t="shared" si="156"/>
        <v>April</v>
      </c>
      <c r="BW75" s="51" t="str">
        <f t="shared" si="156"/>
        <v xml:space="preserve">May </v>
      </c>
      <c r="BX75" s="51" t="str">
        <f t="shared" si="156"/>
        <v>June</v>
      </c>
      <c r="BY75" s="51" t="str">
        <f t="shared" si="156"/>
        <v>July</v>
      </c>
      <c r="BZ75" s="51" t="str">
        <f t="shared" si="156"/>
        <v xml:space="preserve">August </v>
      </c>
      <c r="CA75" s="51" t="str">
        <f t="shared" si="156"/>
        <v>September</v>
      </c>
      <c r="CB75" s="51" t="str">
        <f t="shared" si="156"/>
        <v>October</v>
      </c>
      <c r="CC75" s="51" t="str">
        <f t="shared" si="156"/>
        <v>November</v>
      </c>
      <c r="CD75" s="51" t="str">
        <f t="shared" si="156"/>
        <v>December</v>
      </c>
    </row>
    <row r="76" spans="1:82">
      <c r="A76" s="570" t="s">
        <v>465</v>
      </c>
      <c r="B76" s="571"/>
      <c r="C76" s="570"/>
      <c r="D76" s="572"/>
      <c r="E76" s="572">
        <f>D83</f>
        <v>20939.419999999991</v>
      </c>
      <c r="F76" s="572">
        <f>E83+E86</f>
        <v>20939.507719995458</v>
      </c>
      <c r="G76" s="572">
        <f t="shared" ref="G76:P76" si="157">F83+F86</f>
        <v>20939.507720179197</v>
      </c>
      <c r="H76" s="572">
        <f>G83+G86</f>
        <v>65939.601977799422</v>
      </c>
      <c r="I76" s="572">
        <f t="shared" si="157"/>
        <v>24939.61035645198</v>
      </c>
      <c r="J76" s="572">
        <f t="shared" si="157"/>
        <v>21939.518193463093</v>
      </c>
      <c r="K76" s="572">
        <f t="shared" si="157"/>
        <v>40439.550659783687</v>
      </c>
      <c r="L76" s="572">
        <f t="shared" si="157"/>
        <v>35939.579984444637</v>
      </c>
      <c r="M76" s="572">
        <f t="shared" si="157"/>
        <v>20939.539139537301</v>
      </c>
      <c r="N76" s="572">
        <f t="shared" si="157"/>
        <v>20939.507720245008</v>
      </c>
      <c r="O76" s="572">
        <f t="shared" si="157"/>
        <v>24939.516098634329</v>
      </c>
      <c r="P76" s="572">
        <f t="shared" si="157"/>
        <v>48392.533602000272</v>
      </c>
      <c r="Q76" s="572">
        <f>D83</f>
        <v>20939.419999999991</v>
      </c>
      <c r="S76" s="572">
        <f>P83+P86</f>
        <v>38439.755481728796</v>
      </c>
      <c r="T76" s="572">
        <f ca="1">S83+S86</f>
        <v>202376.45650750288</v>
      </c>
      <c r="U76" s="572">
        <f ca="1">T83+T86</f>
        <v>226773.21221092209</v>
      </c>
      <c r="V76" s="572">
        <f t="shared" ref="V76:AB76" ca="1" si="158">U83+U86</f>
        <v>252390.42389669095</v>
      </c>
      <c r="W76" s="572">
        <f t="shared" ca="1" si="158"/>
        <v>279289.1143906932</v>
      </c>
      <c r="X76" s="572">
        <f t="shared" ca="1" si="158"/>
        <v>307533.35766010795</v>
      </c>
      <c r="Y76" s="572">
        <f t="shared" ca="1" si="158"/>
        <v>337190.43137047457</v>
      </c>
      <c r="Z76" s="572">
        <f t="shared" ca="1" si="158"/>
        <v>368330.97707061039</v>
      </c>
      <c r="AA76" s="572">
        <f t="shared" ca="1" si="158"/>
        <v>401029.16838677489</v>
      </c>
      <c r="AB76" s="572">
        <f t="shared" ca="1" si="158"/>
        <v>435362.8876265416</v>
      </c>
      <c r="AC76" s="572">
        <f t="shared" ref="AC76" ca="1" si="159">AB83+AB86</f>
        <v>471413.91121286404</v>
      </c>
      <c r="AD76" s="572">
        <f t="shared" ref="AD76" ca="1" si="160">AC83+AC86</f>
        <v>509268.10438984417</v>
      </c>
      <c r="AE76" s="572">
        <f t="shared" ref="AE76" ca="1" si="161">AD83+AD86</f>
        <v>549015.62566379074</v>
      </c>
      <c r="AF76" s="572">
        <f t="shared" ref="AF76" ca="1" si="162">AE83+AE86</f>
        <v>590751.14146632852</v>
      </c>
      <c r="AG76" s="572">
        <f t="shared" ref="AG76" ca="1" si="163">AF83+AF86</f>
        <v>634574.05155066517</v>
      </c>
      <c r="AH76" s="572">
        <f t="shared" ref="AH76" ca="1" si="164">AG83+AG86</f>
        <v>680588.72565766948</v>
      </c>
      <c r="AI76" s="572">
        <f t="shared" ref="AI76" ca="1" si="165">AH83+AH86</f>
        <v>728904.75201525551</v>
      </c>
      <c r="AJ76" s="572">
        <f t="shared" ref="AJ76" ca="1" si="166">AI83+AI86</f>
        <v>779637.19826273329</v>
      </c>
      <c r="AK76" s="572">
        <f t="shared" ref="AK76" ca="1" si="167">AJ83+AJ86</f>
        <v>832906.88542138028</v>
      </c>
      <c r="AL76" s="572">
        <f t="shared" ref="AL76" ca="1" si="168">AK83+AK86</f>
        <v>888840.67556353856</v>
      </c>
      <c r="AX76" s="1006" t="s">
        <v>385</v>
      </c>
      <c r="AY76" s="1006"/>
      <c r="AZ76" s="171">
        <v>0</v>
      </c>
      <c r="BA76" s="171">
        <v>1</v>
      </c>
      <c r="BB76" s="171"/>
      <c r="BD76" s="44" t="s">
        <v>476</v>
      </c>
      <c r="BE76" s="161">
        <f t="shared" ref="BE76:BP76" si="169">+E83</f>
        <v>20939.419999999991</v>
      </c>
      <c r="BF76" s="161">
        <f t="shared" si="169"/>
        <v>20939.419999999991</v>
      </c>
      <c r="BG76" s="161">
        <f t="shared" si="169"/>
        <v>65939.42</v>
      </c>
      <c r="BH76" s="161">
        <f t="shared" si="169"/>
        <v>24939.419999999991</v>
      </c>
      <c r="BI76" s="161">
        <f t="shared" si="169"/>
        <v>21939.419999999991</v>
      </c>
      <c r="BJ76" s="161">
        <f t="shared" si="169"/>
        <v>40439.42</v>
      </c>
      <c r="BK76" s="161">
        <f t="shared" si="169"/>
        <v>35939.419999999991</v>
      </c>
      <c r="BL76" s="161">
        <f t="shared" si="169"/>
        <v>20939.419999999991</v>
      </c>
      <c r="BM76" s="161">
        <f t="shared" si="169"/>
        <v>20939.419999999991</v>
      </c>
      <c r="BN76" s="161">
        <f t="shared" si="169"/>
        <v>24939.419999999991</v>
      </c>
      <c r="BO76" s="161">
        <f t="shared" si="169"/>
        <v>48392.38</v>
      </c>
      <c r="BP76" s="161">
        <f t="shared" si="169"/>
        <v>38439.573602000273</v>
      </c>
      <c r="BR76" s="44" t="s">
        <v>476</v>
      </c>
      <c r="BS76" s="161">
        <f t="shared" ref="BS76:CD76" si="170">+E82</f>
        <v>19625.890360824742</v>
      </c>
      <c r="BT76" s="161">
        <f t="shared" si="170"/>
        <v>2125.8026408292644</v>
      </c>
      <c r="BU76" s="161">
        <f t="shared" si="170"/>
        <v>47125.802640645532</v>
      </c>
      <c r="BV76" s="161">
        <f t="shared" si="170"/>
        <v>6125.7083830253032</v>
      </c>
      <c r="BW76" s="161">
        <f t="shared" si="170"/>
        <v>3125.7000043727458</v>
      </c>
      <c r="BX76" s="161">
        <f t="shared" si="170"/>
        <v>21625.792167361637</v>
      </c>
      <c r="BY76" s="161">
        <f t="shared" si="170"/>
        <v>17125.759701041046</v>
      </c>
      <c r="BZ76" s="161">
        <f t="shared" si="170"/>
        <v>2125.7303763800883</v>
      </c>
      <c r="CA76" s="161">
        <f t="shared" si="170"/>
        <v>2125.7712212874176</v>
      </c>
      <c r="CB76" s="161">
        <f t="shared" si="170"/>
        <v>6125.8026405797136</v>
      </c>
      <c r="CC76" s="161">
        <f t="shared" si="170"/>
        <v>29578.754262190399</v>
      </c>
      <c r="CD76" s="161">
        <f t="shared" si="170"/>
        <v>0</v>
      </c>
    </row>
    <row r="77" spans="1:82">
      <c r="A77" s="3" t="s">
        <v>447</v>
      </c>
      <c r="B77" s="11"/>
      <c r="C77" s="1"/>
      <c r="D77" s="59"/>
      <c r="E77" s="561">
        <f>IF($C$71=1,OPTIMIZER!$X$24,100%)</f>
        <v>1</v>
      </c>
      <c r="F77" s="561">
        <f>IF($C$71=1,OPTIMIZER!$X$24,100%)</f>
        <v>1</v>
      </c>
      <c r="G77" s="561">
        <f>IF($C$71=1,OPTIMIZER!$X$24,100%)</f>
        <v>1</v>
      </c>
      <c r="H77" s="561">
        <f>IF($C$71=1,OPTIMIZER!$X$24,100%)</f>
        <v>1</v>
      </c>
      <c r="I77" s="561">
        <f>IF($C$71=1,OPTIMIZER!$X$24,100%)</f>
        <v>1</v>
      </c>
      <c r="J77" s="561">
        <f>IF($C$71=1,OPTIMIZER!$X$24,100%)</f>
        <v>1</v>
      </c>
      <c r="K77" s="561">
        <f>IF($C$71=1,OPTIMIZER!$X$24,100%)</f>
        <v>1</v>
      </c>
      <c r="L77" s="561">
        <f>IF($C$71=1,OPTIMIZER!$X$24,100%)</f>
        <v>1</v>
      </c>
      <c r="M77" s="561">
        <f>IF($C$71=1,OPTIMIZER!$X$24,100%)</f>
        <v>1</v>
      </c>
      <c r="N77" s="561">
        <f>IF($C$71=1,OPTIMIZER!$X$24,100%)</f>
        <v>1</v>
      </c>
      <c r="O77" s="561">
        <f>IF($C$71=1,OPTIMIZER!$X$24,100%)</f>
        <v>1</v>
      </c>
      <c r="P77" s="484">
        <f>IF($C$71=1,OPTIMIZER!R24,-P79/P10+20%)</f>
        <v>0.16325648151410205</v>
      </c>
      <c r="Q77" s="170">
        <f ca="1">+Q78/$Q$16</f>
        <v>0.670485406230373</v>
      </c>
      <c r="S77" s="170">
        <f t="shared" ref="S77:AL77" ca="1" si="171">IF($C$71=1,Q77,MIN(-S79/S10+5%,100%))</f>
        <v>0.91962791843635749</v>
      </c>
      <c r="T77" s="170">
        <f t="shared" si="171"/>
        <v>0</v>
      </c>
      <c r="U77" s="170">
        <f t="shared" ca="1" si="171"/>
        <v>0.91962791843635749</v>
      </c>
      <c r="V77" s="170">
        <f t="shared" si="171"/>
        <v>0</v>
      </c>
      <c r="W77" s="170">
        <f t="shared" ca="1" si="171"/>
        <v>0.91962791843635761</v>
      </c>
      <c r="X77" s="170">
        <f t="shared" si="171"/>
        <v>0</v>
      </c>
      <c r="Y77" s="170">
        <f t="shared" ca="1" si="171"/>
        <v>0.91962791843635772</v>
      </c>
      <c r="Z77" s="170">
        <f t="shared" si="171"/>
        <v>0</v>
      </c>
      <c r="AA77" s="170">
        <f t="shared" ca="1" si="171"/>
        <v>0.91962791843635783</v>
      </c>
      <c r="AB77" s="170">
        <f t="shared" si="171"/>
        <v>0</v>
      </c>
      <c r="AC77" s="170">
        <f t="shared" ca="1" si="171"/>
        <v>0.91962791843635783</v>
      </c>
      <c r="AD77" s="170">
        <f t="shared" si="171"/>
        <v>0</v>
      </c>
      <c r="AE77" s="170">
        <f t="shared" ca="1" si="171"/>
        <v>0.91962791843635772</v>
      </c>
      <c r="AF77" s="170">
        <f t="shared" si="171"/>
        <v>0</v>
      </c>
      <c r="AG77" s="170">
        <f t="shared" ca="1" si="171"/>
        <v>0.91962791843635772</v>
      </c>
      <c r="AH77" s="170">
        <f t="shared" si="171"/>
        <v>0</v>
      </c>
      <c r="AI77" s="170">
        <f t="shared" ca="1" si="171"/>
        <v>0.91962791843635772</v>
      </c>
      <c r="AJ77" s="170">
        <f t="shared" si="171"/>
        <v>0</v>
      </c>
      <c r="AK77" s="170">
        <f t="shared" ca="1" si="171"/>
        <v>0.91962791843635772</v>
      </c>
      <c r="AL77" s="170">
        <f t="shared" si="171"/>
        <v>0</v>
      </c>
      <c r="AX77" t="s">
        <v>257</v>
      </c>
      <c r="AY77" s="59">
        <f>+Q83</f>
        <v>38439.755481728796</v>
      </c>
      <c r="AZ77" s="7">
        <f t="dataTable" ref="AZ77:BA79" dt2D="0" dtr="1" r1="C71" ca="1"/>
        <v>179142.03980940211</v>
      </c>
      <c r="BA77" s="7">
        <v>38439.755481728796</v>
      </c>
      <c r="BD77">
        <v>0</v>
      </c>
      <c r="BE77" s="7">
        <f t="dataTable" ref="BE77:BP78" dt2D="0" dtr="0" r1="C71" ca="1"/>
        <v>132050</v>
      </c>
      <c r="BF77" s="7">
        <v>132050</v>
      </c>
      <c r="BG77" s="7">
        <v>132050</v>
      </c>
      <c r="BH77" s="7">
        <v>132050</v>
      </c>
      <c r="BI77" s="7">
        <v>132050</v>
      </c>
      <c r="BJ77" s="7">
        <v>132050</v>
      </c>
      <c r="BK77" s="7">
        <v>132050</v>
      </c>
      <c r="BL77" s="7">
        <v>132050</v>
      </c>
      <c r="BM77" s="7">
        <v>132050</v>
      </c>
      <c r="BN77" s="7">
        <v>132050</v>
      </c>
      <c r="BO77" s="7">
        <v>132050</v>
      </c>
      <c r="BP77" s="7">
        <v>179141.38798247313</v>
      </c>
      <c r="BR77">
        <v>0</v>
      </c>
      <c r="BS77" s="756">
        <f t="dataTable" ref="BS77:CD78" dt2D="0" dtr="0" r1="C71" ca="1"/>
        <v>19625.890360824749</v>
      </c>
      <c r="BT77" s="756">
        <v>2125.3371733247477</v>
      </c>
      <c r="BU77" s="756">
        <v>2125.3371721660078</v>
      </c>
      <c r="BV77" s="756">
        <v>47125.337172166022</v>
      </c>
      <c r="BW77" s="756">
        <v>6125.3371721660078</v>
      </c>
      <c r="BX77" s="756">
        <v>3125.3371721660078</v>
      </c>
      <c r="BY77" s="756">
        <v>21625.337172166022</v>
      </c>
      <c r="BZ77" s="756">
        <v>17125.337172166008</v>
      </c>
      <c r="CA77" s="756">
        <v>2125.3371721660078</v>
      </c>
      <c r="CB77" s="756">
        <v>2125.3371721660078</v>
      </c>
      <c r="CC77" s="756">
        <v>6125.3371721660078</v>
      </c>
      <c r="CD77" s="756">
        <v>0</v>
      </c>
    </row>
    <row r="78" spans="1:82">
      <c r="A78" s="2" t="s">
        <v>593</v>
      </c>
      <c r="B78" s="11"/>
      <c r="D78" s="59"/>
      <c r="E78" s="59">
        <f>E77*E$10</f>
        <v>18813.52963917526</v>
      </c>
      <c r="F78" s="59">
        <f t="shared" ref="F78:P78" si="172">F77*F$10</f>
        <v>18813.52963917526</v>
      </c>
      <c r="G78" s="59">
        <f t="shared" si="172"/>
        <v>18813.52963917526</v>
      </c>
      <c r="H78" s="59">
        <f t="shared" si="172"/>
        <v>18813.52963917526</v>
      </c>
      <c r="I78" s="59">
        <f t="shared" si="172"/>
        <v>18813.52963917526</v>
      </c>
      <c r="J78" s="59">
        <f t="shared" si="172"/>
        <v>18813.52963917526</v>
      </c>
      <c r="K78" s="59">
        <f t="shared" si="172"/>
        <v>18813.52963917526</v>
      </c>
      <c r="L78" s="59">
        <f t="shared" si="172"/>
        <v>18813.52963917526</v>
      </c>
      <c r="M78" s="59">
        <f t="shared" si="172"/>
        <v>18813.52963917526</v>
      </c>
      <c r="N78" s="59">
        <f t="shared" si="172"/>
        <v>18813.52963917526</v>
      </c>
      <c r="O78" s="59">
        <f t="shared" si="172"/>
        <v>18813.52963917526</v>
      </c>
      <c r="P78" s="59">
        <f t="shared" si="172"/>
        <v>38439.42</v>
      </c>
      <c r="Q78" s="59">
        <f>SUM(E78:P78)</f>
        <v>245388.24603092781</v>
      </c>
      <c r="S78" s="59">
        <f ca="1">S77*S$10</f>
        <v>427188.4574999999</v>
      </c>
      <c r="T78" s="59">
        <f t="shared" ref="T78:AB78" si="173">T77*T$10</f>
        <v>0</v>
      </c>
      <c r="U78" s="59">
        <f t="shared" ca="1" si="173"/>
        <v>470975.27439374995</v>
      </c>
      <c r="V78" s="59">
        <f t="shared" si="173"/>
        <v>0</v>
      </c>
      <c r="W78" s="59">
        <f t="shared" ca="1" si="173"/>
        <v>519250.24001910933</v>
      </c>
      <c r="X78" s="59">
        <f t="shared" si="173"/>
        <v>0</v>
      </c>
      <c r="Y78" s="59">
        <f t="shared" ca="1" si="173"/>
        <v>572473.38962106814</v>
      </c>
      <c r="Z78" s="59">
        <f t="shared" si="173"/>
        <v>0</v>
      </c>
      <c r="AA78" s="59">
        <f t="shared" ca="1" si="173"/>
        <v>631151.91205722769</v>
      </c>
      <c r="AB78" s="59">
        <f t="shared" si="173"/>
        <v>0</v>
      </c>
      <c r="AC78" s="59">
        <f t="shared" ref="AC78:AL78" ca="1" si="174">AC77*AC$10</f>
        <v>695844.98304309358</v>
      </c>
      <c r="AD78" s="59">
        <f t="shared" si="174"/>
        <v>0</v>
      </c>
      <c r="AE78" s="59">
        <f t="shared" ca="1" si="174"/>
        <v>767169.09380501078</v>
      </c>
      <c r="AF78" s="59">
        <f t="shared" si="174"/>
        <v>0</v>
      </c>
      <c r="AG78" s="59">
        <f t="shared" ca="1" si="174"/>
        <v>845803.9259200244</v>
      </c>
      <c r="AH78" s="59">
        <f t="shared" si="174"/>
        <v>0</v>
      </c>
      <c r="AI78" s="59">
        <f t="shared" ca="1" si="174"/>
        <v>932498.82832682692</v>
      </c>
      <c r="AJ78" s="59">
        <f t="shared" si="174"/>
        <v>0</v>
      </c>
      <c r="AK78" s="59">
        <f t="shared" ca="1" si="174"/>
        <v>1028079.9582303268</v>
      </c>
      <c r="AL78" s="59">
        <f t="shared" si="174"/>
        <v>0</v>
      </c>
      <c r="AX78" t="s">
        <v>467</v>
      </c>
      <c r="AY78" s="59">
        <f>+Q95</f>
        <v>129539.36467431458</v>
      </c>
      <c r="AZ78" s="7">
        <v>253850.57469839524</v>
      </c>
      <c r="BA78" s="7">
        <v>129539.36467431458</v>
      </c>
      <c r="BD78">
        <v>1</v>
      </c>
      <c r="BE78" s="7">
        <v>20939.419999999991</v>
      </c>
      <c r="BF78" s="7">
        <v>20939.419999999991</v>
      </c>
      <c r="BG78" s="7">
        <v>65939.42</v>
      </c>
      <c r="BH78" s="7">
        <v>24939.419999999991</v>
      </c>
      <c r="BI78" s="7">
        <v>21939.419999999991</v>
      </c>
      <c r="BJ78" s="7">
        <v>40439.42</v>
      </c>
      <c r="BK78" s="7">
        <v>35939.419999999991</v>
      </c>
      <c r="BL78" s="7">
        <v>20939.419999999991</v>
      </c>
      <c r="BM78" s="7">
        <v>20939.419999999991</v>
      </c>
      <c r="BN78" s="7">
        <v>24939.419999999991</v>
      </c>
      <c r="BO78" s="7">
        <v>48392.38</v>
      </c>
      <c r="BP78" s="7">
        <v>38439.573602000273</v>
      </c>
      <c r="BR78">
        <v>1</v>
      </c>
      <c r="BS78" s="756">
        <v>19625.890360824742</v>
      </c>
      <c r="BT78" s="756">
        <v>2125.8026408292644</v>
      </c>
      <c r="BU78" s="756">
        <v>47125.802640645532</v>
      </c>
      <c r="BV78" s="756">
        <v>6125.7083830253032</v>
      </c>
      <c r="BW78" s="756">
        <v>3125.7000043727458</v>
      </c>
      <c r="BX78" s="756">
        <v>21625.792167361637</v>
      </c>
      <c r="BY78" s="756">
        <v>17125.759701041046</v>
      </c>
      <c r="BZ78" s="756">
        <v>2125.7303763800883</v>
      </c>
      <c r="CA78" s="756">
        <v>2125.7712212874176</v>
      </c>
      <c r="CB78" s="756">
        <v>6125.8026405797136</v>
      </c>
      <c r="CC78" s="756">
        <v>29578.754262190399</v>
      </c>
      <c r="CD78" s="756">
        <v>0</v>
      </c>
    </row>
    <row r="79" spans="1:82">
      <c r="A79" s="2" t="s">
        <v>594</v>
      </c>
      <c r="B79" s="11"/>
      <c r="D79" s="59"/>
      <c r="E79" s="161">
        <f t="shared" ref="E79:P79" si="175">E63</f>
        <v>-38439.42</v>
      </c>
      <c r="F79" s="161">
        <f t="shared" si="175"/>
        <v>-20939.419999999991</v>
      </c>
      <c r="G79" s="161">
        <f t="shared" si="175"/>
        <v>-20939.419999999991</v>
      </c>
      <c r="H79" s="161">
        <f t="shared" si="175"/>
        <v>-65939.42</v>
      </c>
      <c r="I79" s="161">
        <f t="shared" si="175"/>
        <v>-24939.419999999991</v>
      </c>
      <c r="J79" s="161">
        <f t="shared" si="175"/>
        <v>-21939.419999999991</v>
      </c>
      <c r="K79" s="161">
        <f t="shared" si="175"/>
        <v>-40439.42</v>
      </c>
      <c r="L79" s="161">
        <f t="shared" si="175"/>
        <v>-35939.419999999991</v>
      </c>
      <c r="M79" s="161">
        <f t="shared" si="175"/>
        <v>-20939.419999999991</v>
      </c>
      <c r="N79" s="161">
        <f t="shared" si="175"/>
        <v>-20939.419999999991</v>
      </c>
      <c r="O79" s="161">
        <f t="shared" si="175"/>
        <v>-24939.419999999991</v>
      </c>
      <c r="P79" s="161">
        <f t="shared" si="175"/>
        <v>-48392.38</v>
      </c>
      <c r="Q79" s="161">
        <f>SUM(E79:P79)</f>
        <v>-384725.99999999988</v>
      </c>
      <c r="S79" s="161">
        <f t="shared" ref="S79:AL79" si="176">S63</f>
        <v>-403962.29999999987</v>
      </c>
      <c r="T79" s="161">
        <f t="shared" si="176"/>
        <v>-424160.41499999986</v>
      </c>
      <c r="U79" s="161">
        <f t="shared" si="176"/>
        <v>-445368.43574999989</v>
      </c>
      <c r="V79" s="161">
        <f t="shared" si="176"/>
        <v>-467636.85753749992</v>
      </c>
      <c r="W79" s="161">
        <f t="shared" si="176"/>
        <v>-491018.70041437494</v>
      </c>
      <c r="X79" s="161">
        <f t="shared" si="176"/>
        <v>-515569.63543509372</v>
      </c>
      <c r="Y79" s="161">
        <f t="shared" si="176"/>
        <v>-541348.11720684846</v>
      </c>
      <c r="Z79" s="161">
        <f t="shared" si="176"/>
        <v>-568415.52306719089</v>
      </c>
      <c r="AA79" s="161">
        <f t="shared" si="176"/>
        <v>-596836.29922055046</v>
      </c>
      <c r="AB79" s="161">
        <f t="shared" si="176"/>
        <v>-626678.11418157804</v>
      </c>
      <c r="AC79" s="161">
        <f t="shared" si="176"/>
        <v>-658012.01989065693</v>
      </c>
      <c r="AD79" s="161">
        <f t="shared" si="176"/>
        <v>-690912.62088518986</v>
      </c>
      <c r="AE79" s="161">
        <f t="shared" si="176"/>
        <v>-725458.25192944938</v>
      </c>
      <c r="AF79" s="161">
        <f t="shared" si="176"/>
        <v>-761731.16452592192</v>
      </c>
      <c r="AG79" s="161">
        <f t="shared" si="176"/>
        <v>-799817.72275221802</v>
      </c>
      <c r="AH79" s="161">
        <f t="shared" si="176"/>
        <v>-839808.6088898289</v>
      </c>
      <c r="AI79" s="161">
        <f t="shared" si="176"/>
        <v>-881799.03933432035</v>
      </c>
      <c r="AJ79" s="161">
        <f t="shared" si="176"/>
        <v>-925888.99130103644</v>
      </c>
      <c r="AK79" s="161">
        <f t="shared" si="176"/>
        <v>-972183.44086608826</v>
      </c>
      <c r="AL79" s="161">
        <f t="shared" si="176"/>
        <v>-1020792.6129093927</v>
      </c>
      <c r="AX79" t="s">
        <v>468</v>
      </c>
      <c r="AY79" s="59">
        <f ca="1">+Q104</f>
        <v>138507.20569999999</v>
      </c>
      <c r="AZ79" s="7">
        <v>138507.20569999999</v>
      </c>
      <c r="BA79" s="7">
        <v>138507.20569999999</v>
      </c>
      <c r="BS79" s="756"/>
      <c r="BT79" s="756"/>
      <c r="BU79" s="756"/>
      <c r="BV79" s="756"/>
      <c r="BW79" s="756"/>
      <c r="BX79" s="756"/>
      <c r="BY79" s="756"/>
      <c r="BZ79" s="756"/>
      <c r="CA79" s="756"/>
      <c r="CB79" s="756"/>
      <c r="CC79" s="756"/>
      <c r="CD79" s="756"/>
    </row>
    <row r="80" spans="1:82">
      <c r="A80" s="1" t="s">
        <v>588</v>
      </c>
      <c r="B80" s="11"/>
      <c r="C80" t="s">
        <v>732</v>
      </c>
      <c r="D80" s="569">
        <v>5000</v>
      </c>
      <c r="E80" s="60">
        <f>+E76+E78+E79</f>
        <v>1313.529639175249</v>
      </c>
      <c r="F80" s="60">
        <f>+F76+F78+F79</f>
        <v>18813.617359170727</v>
      </c>
      <c r="G80" s="60">
        <f t="shared" ref="G80:AB80" si="177">+G76+G78+G79</f>
        <v>18813.617359354466</v>
      </c>
      <c r="H80" s="60">
        <f t="shared" si="177"/>
        <v>18813.711616974688</v>
      </c>
      <c r="I80" s="60">
        <f t="shared" si="177"/>
        <v>18813.719995627245</v>
      </c>
      <c r="J80" s="60">
        <f t="shared" si="177"/>
        <v>18813.627832638362</v>
      </c>
      <c r="K80" s="60">
        <f t="shared" si="177"/>
        <v>18813.660298958945</v>
      </c>
      <c r="L80" s="60">
        <f t="shared" si="177"/>
        <v>18813.689623619903</v>
      </c>
      <c r="M80" s="60">
        <f t="shared" si="177"/>
        <v>18813.648778712573</v>
      </c>
      <c r="N80" s="60">
        <f t="shared" si="177"/>
        <v>18813.617359420277</v>
      </c>
      <c r="O80" s="60">
        <f t="shared" si="177"/>
        <v>18813.625737809598</v>
      </c>
      <c r="P80" s="60">
        <f t="shared" si="177"/>
        <v>38439.573602000273</v>
      </c>
      <c r="Q80" s="60">
        <f t="shared" si="177"/>
        <v>-118398.33396907209</v>
      </c>
      <c r="S80" s="60">
        <f t="shared" ca="1" si="177"/>
        <v>202368.19730940223</v>
      </c>
      <c r="T80" s="60">
        <f t="shared" ca="1" si="177"/>
        <v>226763.92188250291</v>
      </c>
      <c r="U80" s="60">
        <f t="shared" ca="1" si="177"/>
        <v>252380.05085467215</v>
      </c>
      <c r="V80" s="60">
        <f t="shared" ca="1" si="177"/>
        <v>279277.6044726285</v>
      </c>
      <c r="W80" s="60">
        <f t="shared" ca="1" si="177"/>
        <v>307520.65399542754</v>
      </c>
      <c r="X80" s="60">
        <f t="shared" ca="1" si="177"/>
        <v>337176.47424507904</v>
      </c>
      <c r="Y80" s="60">
        <f t="shared" ca="1" si="177"/>
        <v>368315.7037846942</v>
      </c>
      <c r="Z80" s="60">
        <f t="shared" ca="1" si="177"/>
        <v>401012.513105541</v>
      </c>
      <c r="AA80" s="60">
        <f t="shared" ca="1" si="177"/>
        <v>435344.78122345207</v>
      </c>
      <c r="AB80" s="60">
        <f t="shared" ca="1" si="177"/>
        <v>471394.2811050528</v>
      </c>
      <c r="AC80" s="60">
        <f t="shared" ref="AC80:AL80" ca="1" si="178">+AC76+AC78+AC79</f>
        <v>509246.87436530064</v>
      </c>
      <c r="AD80" s="60">
        <f t="shared" ca="1" si="178"/>
        <v>548992.71569990274</v>
      </c>
      <c r="AE80" s="60">
        <f t="shared" ca="1" si="178"/>
        <v>590726.46753935213</v>
      </c>
      <c r="AF80" s="60">
        <f t="shared" ca="1" si="178"/>
        <v>634547.52543566795</v>
      </c>
      <c r="AG80" s="60">
        <f t="shared" ca="1" si="178"/>
        <v>680560.25471847143</v>
      </c>
      <c r="AH80" s="60">
        <f t="shared" ca="1" si="178"/>
        <v>728874.23898386629</v>
      </c>
      <c r="AI80" s="60">
        <f t="shared" ca="1" si="178"/>
        <v>779604.54100776196</v>
      </c>
      <c r="AJ80" s="60">
        <f t="shared" ca="1" si="178"/>
        <v>832871.97670486523</v>
      </c>
      <c r="AK80" s="60">
        <f t="shared" ca="1" si="178"/>
        <v>888803.40278561879</v>
      </c>
      <c r="AL80" s="60">
        <f t="shared" ca="1" si="178"/>
        <v>947532.01879598922</v>
      </c>
      <c r="BE80" s="1005" t="str">
        <f>A95</f>
        <v>Short - Ending</v>
      </c>
      <c r="BF80" s="1006"/>
      <c r="BG80" s="1006"/>
      <c r="BH80" s="1006"/>
      <c r="BI80" s="1006"/>
      <c r="BJ80" s="1006"/>
      <c r="BK80" s="1006"/>
      <c r="BL80" s="1006"/>
      <c r="BM80" s="1006"/>
      <c r="BN80" s="1006"/>
      <c r="BO80" s="1006"/>
      <c r="BP80" s="1006"/>
    </row>
    <row r="81" spans="1:82" ht="21.75" customHeight="1">
      <c r="A81" s="563" t="s">
        <v>454</v>
      </c>
      <c r="B81" s="19"/>
      <c r="C81" s="1" t="s">
        <v>733</v>
      </c>
      <c r="D81" s="569">
        <f>D83</f>
        <v>20939.419999999991</v>
      </c>
      <c r="E81" s="558">
        <f t="shared" ref="E81:O81" si="179">IF($C$71=1,-SUM(F63),$D$81)</f>
        <v>20939.419999999991</v>
      </c>
      <c r="F81" s="558">
        <f t="shared" si="179"/>
        <v>20939.419999999991</v>
      </c>
      <c r="G81" s="558">
        <f t="shared" si="179"/>
        <v>65939.42</v>
      </c>
      <c r="H81" s="558">
        <f t="shared" si="179"/>
        <v>24939.419999999991</v>
      </c>
      <c r="I81" s="558">
        <f t="shared" si="179"/>
        <v>21939.419999999991</v>
      </c>
      <c r="J81" s="558">
        <f t="shared" si="179"/>
        <v>40439.42</v>
      </c>
      <c r="K81" s="558">
        <f t="shared" si="179"/>
        <v>35939.419999999991</v>
      </c>
      <c r="L81" s="558">
        <f t="shared" si="179"/>
        <v>20939.419999999991</v>
      </c>
      <c r="M81" s="558">
        <f t="shared" si="179"/>
        <v>20939.419999999991</v>
      </c>
      <c r="N81" s="558">
        <f t="shared" si="179"/>
        <v>24939.419999999991</v>
      </c>
      <c r="O81" s="569">
        <f t="shared" si="179"/>
        <v>48392.38</v>
      </c>
      <c r="P81" s="569">
        <f>IF($C$71=1,-SUM(E63),$D$81)</f>
        <v>38439.42</v>
      </c>
      <c r="Q81" s="558"/>
      <c r="R81" s="60"/>
      <c r="S81" s="559">
        <f>S76</f>
        <v>38439.755481728796</v>
      </c>
      <c r="T81" s="559">
        <f t="shared" ref="T81:AB81" ca="1" si="180">T76</f>
        <v>202376.45650750288</v>
      </c>
      <c r="U81" s="559">
        <f t="shared" ca="1" si="180"/>
        <v>226773.21221092209</v>
      </c>
      <c r="V81" s="559">
        <f t="shared" ca="1" si="180"/>
        <v>252390.42389669095</v>
      </c>
      <c r="W81" s="559">
        <f t="shared" ca="1" si="180"/>
        <v>279289.1143906932</v>
      </c>
      <c r="X81" s="559">
        <f t="shared" ca="1" si="180"/>
        <v>307533.35766010795</v>
      </c>
      <c r="Y81" s="559">
        <f t="shared" ca="1" si="180"/>
        <v>337190.43137047457</v>
      </c>
      <c r="Z81" s="559">
        <f t="shared" ca="1" si="180"/>
        <v>368330.97707061039</v>
      </c>
      <c r="AA81" s="559">
        <f t="shared" ca="1" si="180"/>
        <v>401029.16838677489</v>
      </c>
      <c r="AB81" s="559">
        <f t="shared" ca="1" si="180"/>
        <v>435362.8876265416</v>
      </c>
      <c r="AC81" s="559">
        <f t="shared" ref="AC81:AL81" ca="1" si="181">AC76</f>
        <v>471413.91121286404</v>
      </c>
      <c r="AD81" s="559">
        <f t="shared" ca="1" si="181"/>
        <v>509268.10438984417</v>
      </c>
      <c r="AE81" s="559">
        <f t="shared" ca="1" si="181"/>
        <v>549015.62566379074</v>
      </c>
      <c r="AF81" s="559">
        <f t="shared" ca="1" si="181"/>
        <v>590751.14146632852</v>
      </c>
      <c r="AG81" s="559">
        <f t="shared" ca="1" si="181"/>
        <v>634574.05155066517</v>
      </c>
      <c r="AH81" s="559">
        <f t="shared" ca="1" si="181"/>
        <v>680588.72565766948</v>
      </c>
      <c r="AI81" s="559">
        <f t="shared" ca="1" si="181"/>
        <v>728904.75201525551</v>
      </c>
      <c r="AJ81" s="559">
        <f t="shared" ca="1" si="181"/>
        <v>779637.19826273329</v>
      </c>
      <c r="AK81" s="559">
        <f t="shared" ca="1" si="181"/>
        <v>832906.88542138028</v>
      </c>
      <c r="AL81" s="559">
        <f t="shared" ca="1" si="181"/>
        <v>888840.67556353856</v>
      </c>
      <c r="AM81" s="60"/>
      <c r="AN81" s="60"/>
      <c r="AO81" s="60"/>
      <c r="AP81" s="60"/>
      <c r="AQ81" s="60"/>
      <c r="AR81" s="60"/>
      <c r="AS81" s="60"/>
      <c r="AT81" s="60"/>
      <c r="AU81" s="60"/>
      <c r="AV81" s="60"/>
      <c r="AW81" s="60"/>
      <c r="AZ81" s="44" t="s">
        <v>476</v>
      </c>
      <c r="BA81" s="44"/>
      <c r="BE81" s="51" t="str">
        <f>+BE75</f>
        <v>January</v>
      </c>
      <c r="BF81" s="51" t="str">
        <f t="shared" ref="BF81:BP81" si="182">+BF75</f>
        <v>February</v>
      </c>
      <c r="BG81" s="51" t="str">
        <f t="shared" si="182"/>
        <v>March</v>
      </c>
      <c r="BH81" s="51" t="str">
        <f t="shared" si="182"/>
        <v>April</v>
      </c>
      <c r="BI81" s="51" t="str">
        <f t="shared" si="182"/>
        <v xml:space="preserve">May </v>
      </c>
      <c r="BJ81" s="51" t="str">
        <f t="shared" si="182"/>
        <v>June</v>
      </c>
      <c r="BK81" s="51" t="str">
        <f t="shared" si="182"/>
        <v>July</v>
      </c>
      <c r="BL81" s="51" t="str">
        <f t="shared" si="182"/>
        <v xml:space="preserve">August </v>
      </c>
      <c r="BM81" s="51" t="str">
        <f t="shared" si="182"/>
        <v>September</v>
      </c>
      <c r="BN81" s="51" t="str">
        <f t="shared" si="182"/>
        <v>October</v>
      </c>
      <c r="BO81" s="51" t="str">
        <f t="shared" si="182"/>
        <v>November</v>
      </c>
      <c r="BP81" s="51" t="str">
        <f t="shared" si="182"/>
        <v>December</v>
      </c>
      <c r="BS81" s="1005" t="str">
        <f>A94</f>
        <v>Move cash from Medium-Term to Short-Term</v>
      </c>
      <c r="BT81" s="1006"/>
      <c r="BU81" s="1006"/>
      <c r="BV81" s="1006"/>
      <c r="BW81" s="1006"/>
      <c r="BX81" s="1006"/>
      <c r="BY81" s="1006"/>
      <c r="BZ81" s="1006"/>
      <c r="CA81" s="1006"/>
      <c r="CB81" s="1006"/>
      <c r="CC81" s="1006"/>
      <c r="CD81" s="1006"/>
    </row>
    <row r="82" spans="1:82">
      <c r="A82" s="2" t="s">
        <v>592</v>
      </c>
      <c r="B82" s="11"/>
      <c r="D82" s="59"/>
      <c r="E82" s="59">
        <f t="shared" ref="E82:P82" si="183">IF(E80&gt;E81,0,-(E80-E81))</f>
        <v>19625.890360824742</v>
      </c>
      <c r="F82" s="59">
        <f t="shared" si="183"/>
        <v>2125.8026408292644</v>
      </c>
      <c r="G82" s="59">
        <f>IF(G80&gt;G81,0,-(G80-G81))</f>
        <v>47125.802640645532</v>
      </c>
      <c r="H82" s="59">
        <f t="shared" si="183"/>
        <v>6125.7083830253032</v>
      </c>
      <c r="I82" s="59">
        <f t="shared" si="183"/>
        <v>3125.7000043727458</v>
      </c>
      <c r="J82" s="59">
        <f t="shared" si="183"/>
        <v>21625.792167361637</v>
      </c>
      <c r="K82" s="59">
        <f t="shared" si="183"/>
        <v>17125.759701041046</v>
      </c>
      <c r="L82" s="59">
        <f t="shared" si="183"/>
        <v>2125.7303763800883</v>
      </c>
      <c r="M82" s="59">
        <f t="shared" si="183"/>
        <v>2125.7712212874176</v>
      </c>
      <c r="N82" s="59">
        <f t="shared" si="183"/>
        <v>6125.8026405797136</v>
      </c>
      <c r="O82" s="59">
        <f t="shared" si="183"/>
        <v>29578.754262190399</v>
      </c>
      <c r="P82" s="59">
        <f t="shared" si="183"/>
        <v>0</v>
      </c>
      <c r="Q82" s="59">
        <f>SUM(E82:P82)</f>
        <v>156836.5143985379</v>
      </c>
      <c r="S82" s="59">
        <f ca="1">IF(S80&gt;S81,0,-(S80-S81))</f>
        <v>0</v>
      </c>
      <c r="T82" s="59">
        <f t="shared" ref="T82" ca="1" si="184">IF(T80&gt;T81,0,-(T80-T81))</f>
        <v>0</v>
      </c>
      <c r="U82" s="59">
        <f t="shared" ref="U82:AB82" ca="1" si="185">IF(U80&gt;U81,0,-(U80-U81))</f>
        <v>0</v>
      </c>
      <c r="V82" s="59">
        <f t="shared" ca="1" si="185"/>
        <v>0</v>
      </c>
      <c r="W82" s="59">
        <f t="shared" ca="1" si="185"/>
        <v>0</v>
      </c>
      <c r="X82" s="59">
        <f t="shared" ca="1" si="185"/>
        <v>0</v>
      </c>
      <c r="Y82" s="59">
        <f t="shared" ca="1" si="185"/>
        <v>0</v>
      </c>
      <c r="Z82" s="59">
        <f t="shared" ca="1" si="185"/>
        <v>0</v>
      </c>
      <c r="AA82" s="59">
        <f t="shared" ca="1" si="185"/>
        <v>0</v>
      </c>
      <c r="AB82" s="59">
        <f t="shared" ca="1" si="185"/>
        <v>0</v>
      </c>
      <c r="AC82" s="59">
        <f t="shared" ref="AC82:AL82" ca="1" si="186">IF(AC80&gt;AC81,0,-(AC80-AC81))</f>
        <v>0</v>
      </c>
      <c r="AD82" s="59">
        <f t="shared" ca="1" si="186"/>
        <v>0</v>
      </c>
      <c r="AE82" s="59">
        <f t="shared" ca="1" si="186"/>
        <v>0</v>
      </c>
      <c r="AF82" s="59">
        <f t="shared" ca="1" si="186"/>
        <v>0</v>
      </c>
      <c r="AG82" s="59">
        <f t="shared" ca="1" si="186"/>
        <v>0</v>
      </c>
      <c r="AH82" s="59">
        <f t="shared" ca="1" si="186"/>
        <v>0</v>
      </c>
      <c r="AI82" s="59">
        <f t="shared" ca="1" si="186"/>
        <v>0</v>
      </c>
      <c r="AJ82" s="59">
        <f t="shared" ca="1" si="186"/>
        <v>0</v>
      </c>
      <c r="AK82" s="59">
        <f t="shared" ca="1" si="186"/>
        <v>0</v>
      </c>
      <c r="AL82" s="59">
        <f t="shared" ca="1" si="186"/>
        <v>0</v>
      </c>
      <c r="AX82" s="1006" t="s">
        <v>494</v>
      </c>
      <c r="AY82" s="1006"/>
      <c r="AZ82" s="171">
        <v>0</v>
      </c>
      <c r="BA82" s="171">
        <v>1</v>
      </c>
      <c r="BD82" s="44" t="s">
        <v>476</v>
      </c>
      <c r="BE82" s="161">
        <f t="shared" ref="BE82:BP82" si="187">+E95</f>
        <v>109758.90360824735</v>
      </c>
      <c r="BF82" s="161">
        <f t="shared" si="187"/>
        <v>107911.60373188833</v>
      </c>
      <c r="BG82" s="161">
        <f t="shared" si="187"/>
        <v>61039.620875927125</v>
      </c>
      <c r="BH82" s="161">
        <f t="shared" si="187"/>
        <v>55110.965867517254</v>
      </c>
      <c r="BI82" s="161">
        <f t="shared" si="187"/>
        <v>52120.762385698668</v>
      </c>
      <c r="BJ82" s="161">
        <f t="shared" si="187"/>
        <v>30620.008298857145</v>
      </c>
      <c r="BK82" s="161">
        <f t="shared" si="187"/>
        <v>13590.752737607094</v>
      </c>
      <c r="BL82" s="161">
        <f t="shared" si="187"/>
        <v>11516.621863796852</v>
      </c>
      <c r="BM82" s="161">
        <f t="shared" si="187"/>
        <v>9420.1503644346867</v>
      </c>
      <c r="BN82" s="161">
        <f t="shared" si="187"/>
        <v>3318.7644618135928</v>
      </c>
      <c r="BO82" s="161">
        <f t="shared" si="187"/>
        <v>0</v>
      </c>
      <c r="BP82" s="161">
        <f t="shared" si="187"/>
        <v>129388.67625717539</v>
      </c>
      <c r="BS82" s="51" t="str">
        <f t="shared" ref="BS82:CD82" si="188">BE75</f>
        <v>January</v>
      </c>
      <c r="BT82" s="51" t="str">
        <f t="shared" si="188"/>
        <v>February</v>
      </c>
      <c r="BU82" s="51" t="str">
        <f t="shared" si="188"/>
        <v>March</v>
      </c>
      <c r="BV82" s="51" t="str">
        <f t="shared" si="188"/>
        <v>April</v>
      </c>
      <c r="BW82" s="51" t="str">
        <f t="shared" si="188"/>
        <v xml:space="preserve">May </v>
      </c>
      <c r="BX82" s="51" t="str">
        <f t="shared" si="188"/>
        <v>June</v>
      </c>
      <c r="BY82" s="51" t="str">
        <f t="shared" si="188"/>
        <v>July</v>
      </c>
      <c r="BZ82" s="51" t="str">
        <f t="shared" si="188"/>
        <v xml:space="preserve">August </v>
      </c>
      <c r="CA82" s="51" t="str">
        <f t="shared" si="188"/>
        <v>September</v>
      </c>
      <c r="CB82" s="51" t="str">
        <f t="shared" si="188"/>
        <v>October</v>
      </c>
      <c r="CC82" s="51" t="str">
        <f t="shared" si="188"/>
        <v>November</v>
      </c>
      <c r="CD82" s="51" t="str">
        <f t="shared" si="188"/>
        <v>December</v>
      </c>
    </row>
    <row r="83" spans="1:82" ht="21.75" customHeight="1">
      <c r="A83" s="570" t="s">
        <v>446</v>
      </c>
      <c r="B83" s="571"/>
      <c r="C83" s="570"/>
      <c r="D83" s="575">
        <f>IF($C$71=1,OPTIMIZER!AR24,'Balance Sheet'!$B$9)</f>
        <v>20939.419999999991</v>
      </c>
      <c r="E83" s="572">
        <f>+E80+E82</f>
        <v>20939.419999999991</v>
      </c>
      <c r="F83" s="572">
        <f t="shared" ref="F83:P83" si="189">+F80+F82</f>
        <v>20939.419999999991</v>
      </c>
      <c r="G83" s="572">
        <f t="shared" si="189"/>
        <v>65939.42</v>
      </c>
      <c r="H83" s="572">
        <f t="shared" si="189"/>
        <v>24939.419999999991</v>
      </c>
      <c r="I83" s="572">
        <f t="shared" si="189"/>
        <v>21939.419999999991</v>
      </c>
      <c r="J83" s="572">
        <f t="shared" si="189"/>
        <v>40439.42</v>
      </c>
      <c r="K83" s="572">
        <f t="shared" si="189"/>
        <v>35939.419999999991</v>
      </c>
      <c r="L83" s="572">
        <f t="shared" si="189"/>
        <v>20939.419999999991</v>
      </c>
      <c r="M83" s="572">
        <f t="shared" si="189"/>
        <v>20939.419999999991</v>
      </c>
      <c r="N83" s="572">
        <f t="shared" si="189"/>
        <v>24939.419999999991</v>
      </c>
      <c r="O83" s="572">
        <f t="shared" si="189"/>
        <v>48392.38</v>
      </c>
      <c r="P83" s="572">
        <f t="shared" si="189"/>
        <v>38439.573602000273</v>
      </c>
      <c r="Q83" s="572">
        <f>+Q80+Q82+SUM(E86:P86)</f>
        <v>38439.755481728796</v>
      </c>
      <c r="R83" s="60" t="b">
        <f>ROUND(Q83,3)=ROUND(P83+P86,3)</f>
        <v>1</v>
      </c>
      <c r="S83" s="572">
        <f ca="1">+S80+S82</f>
        <v>202368.19730940223</v>
      </c>
      <c r="T83" s="572">
        <f t="shared" ref="T83" ca="1" si="190">+T80+T82</f>
        <v>226763.92188250291</v>
      </c>
      <c r="U83" s="572">
        <f t="shared" ref="U83:AB83" ca="1" si="191">+U80+U82</f>
        <v>252380.05085467215</v>
      </c>
      <c r="V83" s="572">
        <f t="shared" ca="1" si="191"/>
        <v>279277.6044726285</v>
      </c>
      <c r="W83" s="572">
        <f t="shared" ca="1" si="191"/>
        <v>307520.65399542754</v>
      </c>
      <c r="X83" s="572">
        <f t="shared" ca="1" si="191"/>
        <v>337176.47424507904</v>
      </c>
      <c r="Y83" s="572">
        <f t="shared" ca="1" si="191"/>
        <v>368315.7037846942</v>
      </c>
      <c r="Z83" s="572">
        <f t="shared" ca="1" si="191"/>
        <v>401012.513105541</v>
      </c>
      <c r="AA83" s="572">
        <f t="shared" ca="1" si="191"/>
        <v>435344.78122345207</v>
      </c>
      <c r="AB83" s="572">
        <f t="shared" ca="1" si="191"/>
        <v>471394.2811050528</v>
      </c>
      <c r="AC83" s="572">
        <f t="shared" ref="AC83:AL83" ca="1" si="192">+AC80+AC82</f>
        <v>509246.87436530064</v>
      </c>
      <c r="AD83" s="572">
        <f t="shared" ca="1" si="192"/>
        <v>548992.71569990274</v>
      </c>
      <c r="AE83" s="572">
        <f t="shared" ca="1" si="192"/>
        <v>590726.46753935213</v>
      </c>
      <c r="AF83" s="572">
        <f t="shared" ca="1" si="192"/>
        <v>634547.52543566795</v>
      </c>
      <c r="AG83" s="572">
        <f t="shared" ca="1" si="192"/>
        <v>680560.25471847143</v>
      </c>
      <c r="AH83" s="572">
        <f t="shared" ca="1" si="192"/>
        <v>728874.23898386629</v>
      </c>
      <c r="AI83" s="572">
        <f t="shared" ca="1" si="192"/>
        <v>779604.54100776196</v>
      </c>
      <c r="AJ83" s="572">
        <f t="shared" ca="1" si="192"/>
        <v>832871.97670486523</v>
      </c>
      <c r="AK83" s="572">
        <f t="shared" ca="1" si="192"/>
        <v>888803.40278561879</v>
      </c>
      <c r="AL83" s="572">
        <f t="shared" ca="1" si="192"/>
        <v>947532.01879598922</v>
      </c>
      <c r="AM83" s="60"/>
      <c r="AN83" s="60"/>
      <c r="AO83" s="60"/>
      <c r="AP83" s="60"/>
      <c r="AQ83" s="60"/>
      <c r="AR83" s="60"/>
      <c r="AS83" s="60"/>
      <c r="AT83" s="60"/>
      <c r="AU83" s="60"/>
      <c r="AV83" s="60"/>
      <c r="AW83" s="60"/>
      <c r="AX83" t="s">
        <v>257</v>
      </c>
      <c r="AY83" s="59">
        <f>+Q85</f>
        <v>2.9717967226274915</v>
      </c>
      <c r="AZ83" s="7">
        <f t="dataTable" ref="AZ83:BA85" dt2D="0" dtr="1" r1="C71" ca="1"/>
        <v>12.711133992816297</v>
      </c>
      <c r="BA83" s="7">
        <v>2.9717967226274915</v>
      </c>
      <c r="BD83">
        <v>0</v>
      </c>
      <c r="BE83" s="7">
        <f t="dataTable" ref="BE83:BP84" dt2D="0" dtr="0" r1="C71" ca="1"/>
        <v>220374.10963917524</v>
      </c>
      <c r="BF83" s="7">
        <v>218620.67921631158</v>
      </c>
      <c r="BG83" s="7">
        <v>216850.27825059669</v>
      </c>
      <c r="BH83" s="7">
        <v>170077.01689783303</v>
      </c>
      <c r="BI83" s="7">
        <v>164264.53791938722</v>
      </c>
      <c r="BJ83" s="7">
        <v>161409.54660869442</v>
      </c>
      <c r="BK83" s="7">
        <v>140047.51906102506</v>
      </c>
      <c r="BL83" s="7">
        <v>123165.92245109769</v>
      </c>
      <c r="BM83" s="7">
        <v>121253.41545860383</v>
      </c>
      <c r="BN83" s="7">
        <v>119325.70094328896</v>
      </c>
      <c r="BO83" s="7">
        <v>113394.87187384866</v>
      </c>
      <c r="BP83" s="7">
        <v>253553.98822185921</v>
      </c>
      <c r="BR83" s="44" t="s">
        <v>476</v>
      </c>
      <c r="BS83" s="161">
        <f t="shared" ref="BS83:CD83" si="193">+E94</f>
        <v>0</v>
      </c>
      <c r="BT83" s="161">
        <f t="shared" si="193"/>
        <v>0</v>
      </c>
      <c r="BU83" s="161">
        <f t="shared" si="193"/>
        <v>0</v>
      </c>
      <c r="BV83" s="161">
        <f t="shared" si="193"/>
        <v>0</v>
      </c>
      <c r="BW83" s="161">
        <f t="shared" si="193"/>
        <v>0</v>
      </c>
      <c r="BX83" s="161">
        <f t="shared" si="193"/>
        <v>0</v>
      </c>
      <c r="BY83" s="161">
        <f t="shared" si="193"/>
        <v>0</v>
      </c>
      <c r="BZ83" s="161">
        <f t="shared" si="193"/>
        <v>0</v>
      </c>
      <c r="CA83" s="161">
        <f t="shared" si="193"/>
        <v>0</v>
      </c>
      <c r="CB83" s="161">
        <f t="shared" si="193"/>
        <v>0</v>
      </c>
      <c r="CC83" s="161">
        <f t="shared" si="193"/>
        <v>26245.125837159325</v>
      </c>
      <c r="CD83" s="161">
        <f t="shared" si="193"/>
        <v>0</v>
      </c>
    </row>
    <row r="84" spans="1:82" ht="21.75" customHeight="1">
      <c r="A84" s="551" t="s">
        <v>445</v>
      </c>
      <c r="B84" s="552"/>
      <c r="C84" s="551"/>
      <c r="D84" s="560">
        <f>'Balance Sheet'!E9</f>
        <v>9.4850435441120784E-5</v>
      </c>
      <c r="E84" s="562">
        <f>+D84</f>
        <v>9.4850435441120784E-5</v>
      </c>
      <c r="F84" s="562">
        <f t="shared" ref="F84:P84" si="194">+E84</f>
        <v>9.4850435441120784E-5</v>
      </c>
      <c r="G84" s="562">
        <f t="shared" si="194"/>
        <v>9.4850435441120784E-5</v>
      </c>
      <c r="H84" s="562">
        <f t="shared" si="194"/>
        <v>9.4850435441120784E-5</v>
      </c>
      <c r="I84" s="562">
        <f t="shared" si="194"/>
        <v>9.4850435441120784E-5</v>
      </c>
      <c r="J84" s="562">
        <f t="shared" si="194"/>
        <v>9.4850435441120784E-5</v>
      </c>
      <c r="K84" s="562">
        <f t="shared" si="194"/>
        <v>9.4850435441120784E-5</v>
      </c>
      <c r="L84" s="562">
        <f t="shared" si="194"/>
        <v>9.4850435441120784E-5</v>
      </c>
      <c r="M84" s="562">
        <f t="shared" si="194"/>
        <v>9.4850435441120784E-5</v>
      </c>
      <c r="N84" s="562">
        <f t="shared" si="194"/>
        <v>9.4850435441120784E-5</v>
      </c>
      <c r="O84" s="562">
        <f t="shared" si="194"/>
        <v>9.4850435441120784E-5</v>
      </c>
      <c r="P84" s="562">
        <f t="shared" si="194"/>
        <v>9.4850435441120784E-5</v>
      </c>
      <c r="Q84" s="1009">
        <f>+Q85/AVERAGE(Q76,Q83)</f>
        <v>1.0009558733404526E-4</v>
      </c>
      <c r="S84" s="562">
        <f>+Q84</f>
        <v>1.0009558733404526E-4</v>
      </c>
      <c r="T84" s="562">
        <f>+S84</f>
        <v>1.0009558733404526E-4</v>
      </c>
      <c r="U84" s="562">
        <f t="shared" ref="U84:AB84" si="195">+T84</f>
        <v>1.0009558733404526E-4</v>
      </c>
      <c r="V84" s="562">
        <f t="shared" si="195"/>
        <v>1.0009558733404526E-4</v>
      </c>
      <c r="W84" s="562">
        <f t="shared" si="195"/>
        <v>1.0009558733404526E-4</v>
      </c>
      <c r="X84" s="562">
        <f t="shared" si="195"/>
        <v>1.0009558733404526E-4</v>
      </c>
      <c r="Y84" s="562">
        <f t="shared" si="195"/>
        <v>1.0009558733404526E-4</v>
      </c>
      <c r="Z84" s="562">
        <f t="shared" si="195"/>
        <v>1.0009558733404526E-4</v>
      </c>
      <c r="AA84" s="562">
        <f t="shared" si="195"/>
        <v>1.0009558733404526E-4</v>
      </c>
      <c r="AB84" s="562">
        <f t="shared" si="195"/>
        <v>1.0009558733404526E-4</v>
      </c>
      <c r="AC84" s="562">
        <f t="shared" ref="AC84" si="196">+AB84</f>
        <v>1.0009558733404526E-4</v>
      </c>
      <c r="AD84" s="562">
        <f t="shared" ref="AD84" si="197">+AC84</f>
        <v>1.0009558733404526E-4</v>
      </c>
      <c r="AE84" s="562">
        <f t="shared" ref="AE84" si="198">+AD84</f>
        <v>1.0009558733404526E-4</v>
      </c>
      <c r="AF84" s="562">
        <f t="shared" ref="AF84" si="199">+AE84</f>
        <v>1.0009558733404526E-4</v>
      </c>
      <c r="AG84" s="562">
        <f t="shared" ref="AG84" si="200">+AF84</f>
        <v>1.0009558733404526E-4</v>
      </c>
      <c r="AH84" s="562">
        <f t="shared" ref="AH84" si="201">+AG84</f>
        <v>1.0009558733404526E-4</v>
      </c>
      <c r="AI84" s="562">
        <f t="shared" ref="AI84" si="202">+AH84</f>
        <v>1.0009558733404526E-4</v>
      </c>
      <c r="AJ84" s="562">
        <f t="shared" ref="AJ84" si="203">+AI84</f>
        <v>1.0009558733404526E-4</v>
      </c>
      <c r="AK84" s="562">
        <f t="shared" ref="AK84" si="204">+AJ84</f>
        <v>1.0009558733404526E-4</v>
      </c>
      <c r="AL84" s="562">
        <f t="shared" ref="AL84" si="205">+AK84</f>
        <v>1.0009558733404526E-4</v>
      </c>
      <c r="AX84" t="s">
        <v>467</v>
      </c>
      <c r="AY84" s="59">
        <f>Q97</f>
        <v>2094.1004577676676</v>
      </c>
      <c r="AZ84" s="7">
        <v>6148.8256731719202</v>
      </c>
      <c r="BA84" s="7">
        <v>2094.1004577676676</v>
      </c>
      <c r="BD84">
        <v>1</v>
      </c>
      <c r="BE84" s="7">
        <v>109758.90360824735</v>
      </c>
      <c r="BF84" s="7">
        <v>107911.60373188833</v>
      </c>
      <c r="BG84" s="7">
        <v>61039.620875927125</v>
      </c>
      <c r="BH84" s="7">
        <v>55110.965867517254</v>
      </c>
      <c r="BI84" s="7">
        <v>52120.762385698668</v>
      </c>
      <c r="BJ84" s="7">
        <v>30620.008298857145</v>
      </c>
      <c r="BK84" s="7">
        <v>13590.752737607094</v>
      </c>
      <c r="BL84" s="7">
        <v>11516.621863796852</v>
      </c>
      <c r="BM84" s="7">
        <v>9420.1503644346867</v>
      </c>
      <c r="BN84" s="7">
        <v>3318.7644618135928</v>
      </c>
      <c r="BO84" s="7">
        <v>0</v>
      </c>
      <c r="BP84" s="7">
        <v>129388.67625717539</v>
      </c>
      <c r="BR84">
        <v>0</v>
      </c>
      <c r="BS84" s="756">
        <f t="dataTable" ref="BS84:CD85" dt2D="0" dtr="0" r1="C71" ca="1"/>
        <v>0</v>
      </c>
      <c r="BT84" s="756">
        <v>0</v>
      </c>
      <c r="BU84" s="756">
        <v>0</v>
      </c>
      <c r="BV84" s="756">
        <v>0</v>
      </c>
      <c r="BW84" s="756">
        <v>0</v>
      </c>
      <c r="BX84" s="756">
        <v>0</v>
      </c>
      <c r="BY84" s="756">
        <v>0</v>
      </c>
      <c r="BZ84" s="756">
        <v>0</v>
      </c>
      <c r="CA84" s="756">
        <v>0</v>
      </c>
      <c r="CB84" s="756">
        <v>0</v>
      </c>
      <c r="CC84" s="756">
        <v>0</v>
      </c>
      <c r="CD84" s="756">
        <v>0</v>
      </c>
    </row>
    <row r="85" spans="1:82">
      <c r="A85" s="564" t="s">
        <v>449</v>
      </c>
      <c r="B85" s="565"/>
      <c r="C85" s="511"/>
      <c r="D85" s="566"/>
      <c r="E85" s="566">
        <f>AVERAGE(E76,E83)*E84/12</f>
        <v>0.16550942540704269</v>
      </c>
      <c r="F85" s="566">
        <f>AVERAGE(F76,F83)*F84/12</f>
        <v>0.16550977208536635</v>
      </c>
      <c r="G85" s="566">
        <f t="shared" ref="G85:P85" si="206">AVERAGE(G76,G83)*G84/12</f>
        <v>0.34335433853819403</v>
      </c>
      <c r="H85" s="566">
        <f t="shared" si="206"/>
        <v>0.3591631169607275</v>
      </c>
      <c r="I85" s="566">
        <f t="shared" si="206"/>
        <v>0.18527068509862454</v>
      </c>
      <c r="J85" s="566">
        <f t="shared" si="206"/>
        <v>0.24652789375019726</v>
      </c>
      <c r="K85" s="566">
        <f t="shared" si="206"/>
        <v>0.30185744273437792</v>
      </c>
      <c r="L85" s="566">
        <f t="shared" si="206"/>
        <v>0.22479157983250311</v>
      </c>
      <c r="M85" s="566">
        <f t="shared" si="206"/>
        <v>0.16550989625858406</v>
      </c>
      <c r="N85" s="566">
        <f t="shared" si="206"/>
        <v>0.18131817799320604</v>
      </c>
      <c r="O85" s="566">
        <f t="shared" si="206"/>
        <v>0.28981509486160389</v>
      </c>
      <c r="P85" s="566">
        <f t="shared" si="206"/>
        <v>0.3431692991070639</v>
      </c>
      <c r="Q85" s="566">
        <f>SUM(E85:P85)</f>
        <v>2.9717967226274915</v>
      </c>
      <c r="S85" s="566">
        <f ca="1">AVERAGE(S76,S83)*S84</f>
        <v>15.583392642750123</v>
      </c>
      <c r="T85" s="566">
        <f t="shared" ref="T85:AB85" ca="1" si="207">AVERAGE(T76,T83)*T84</f>
        <v>17.528921545628954</v>
      </c>
      <c r="U85" s="566">
        <f t="shared" ca="1" si="207"/>
        <v>19.571777393959898</v>
      </c>
      <c r="V85" s="566">
        <f t="shared" ca="1" si="207"/>
        <v>21.716826537202099</v>
      </c>
      <c r="W85" s="566">
        <f t="shared" ca="1" si="207"/>
        <v>23.969178642287741</v>
      </c>
      <c r="X85" s="566">
        <f t="shared" ca="1" si="207"/>
        <v>26.334198859495721</v>
      </c>
      <c r="Y85" s="566">
        <f t="shared" ca="1" si="207"/>
        <v>28.817520596618973</v>
      </c>
      <c r="Z85" s="566">
        <f t="shared" ca="1" si="207"/>
        <v>31.425058931840159</v>
      </c>
      <c r="AA85" s="566">
        <f t="shared" ca="1" si="207"/>
        <v>34.163024697251203</v>
      </c>
      <c r="AB85" s="566">
        <f t="shared" ca="1" si="207"/>
        <v>37.037939266548683</v>
      </c>
      <c r="AC85" s="566">
        <f t="shared" ref="AC85:AL85" ca="1" si="208">AVERAGE(AC76,AC83)*AC84</f>
        <v>40.05665008211411</v>
      </c>
      <c r="AD85" s="566">
        <f t="shared" ca="1" si="208"/>
        <v>43.22634695844819</v>
      </c>
      <c r="AE85" s="566">
        <f t="shared" ca="1" si="208"/>
        <v>46.554579200776715</v>
      </c>
      <c r="AF85" s="566">
        <f t="shared" ca="1" si="208"/>
        <v>50.049273579586888</v>
      </c>
      <c r="AG85" s="566">
        <f t="shared" ca="1" si="208"/>
        <v>53.718753203890387</v>
      </c>
      <c r="AH85" s="566">
        <f t="shared" ca="1" si="208"/>
        <v>57.57175733814951</v>
      </c>
      <c r="AI85" s="566">
        <f t="shared" ca="1" si="208"/>
        <v>61.617462210049837</v>
      </c>
      <c r="AJ85" s="566">
        <f t="shared" ca="1" si="208"/>
        <v>65.865502858661273</v>
      </c>
      <c r="AK85" s="566">
        <f t="shared" ca="1" si="208"/>
        <v>70.325996075007325</v>
      </c>
      <c r="AL85" s="566">
        <f t="shared" ca="1" si="208"/>
        <v>75.009564489662765</v>
      </c>
      <c r="AX85" t="s">
        <v>468</v>
      </c>
      <c r="AY85" s="59">
        <f ca="1">Q107</f>
        <v>5395.701008160604</v>
      </c>
      <c r="AZ85" s="7">
        <v>5395.701008160604</v>
      </c>
      <c r="BA85" s="7">
        <v>5395.701008160604</v>
      </c>
      <c r="BR85">
        <v>1</v>
      </c>
      <c r="BS85" s="756">
        <v>0</v>
      </c>
      <c r="BT85" s="756">
        <v>0</v>
      </c>
      <c r="BU85" s="756">
        <v>0</v>
      </c>
      <c r="BV85" s="756">
        <v>0</v>
      </c>
      <c r="BW85" s="756">
        <v>0</v>
      </c>
      <c r="BX85" s="756">
        <v>0</v>
      </c>
      <c r="BY85" s="756">
        <v>0</v>
      </c>
      <c r="BZ85" s="756">
        <v>0</v>
      </c>
      <c r="CA85" s="756">
        <v>0</v>
      </c>
      <c r="CB85" s="756">
        <v>0</v>
      </c>
      <c r="CC85" s="756">
        <v>26245.125837159325</v>
      </c>
      <c r="CD85" s="756">
        <v>0</v>
      </c>
    </row>
    <row r="86" spans="1:82">
      <c r="A86" s="564" t="s">
        <v>495</v>
      </c>
      <c r="B86" s="565"/>
      <c r="C86" s="511" t="s">
        <v>496</v>
      </c>
      <c r="D86" s="607">
        <f>1-OPTIMIZER!AY24/OPTIMIZER!AW24</f>
        <v>0.47</v>
      </c>
      <c r="E86" s="566">
        <f>+E85*(1-$D$86)</f>
        <v>8.7719995465732628E-2</v>
      </c>
      <c r="F86" s="566">
        <f t="shared" ref="F86:P86" si="209">+F85*(1-$D$86)</f>
        <v>8.7720179205244164E-2</v>
      </c>
      <c r="G86" s="566">
        <f t="shared" si="209"/>
        <v>0.18197779942524284</v>
      </c>
      <c r="H86" s="566">
        <f t="shared" si="209"/>
        <v>0.19035645198918558</v>
      </c>
      <c r="I86" s="566">
        <f t="shared" si="209"/>
        <v>9.819346310227102E-2</v>
      </c>
      <c r="J86" s="566">
        <f t="shared" si="209"/>
        <v>0.13065978368760456</v>
      </c>
      <c r="K86" s="566">
        <f t="shared" si="209"/>
        <v>0.15998444464922032</v>
      </c>
      <c r="L86" s="566">
        <f t="shared" si="209"/>
        <v>0.11913953731122666</v>
      </c>
      <c r="M86" s="566">
        <f t="shared" si="209"/>
        <v>8.7720245017049558E-2</v>
      </c>
      <c r="N86" s="566">
        <f t="shared" si="209"/>
        <v>9.6098634336399202E-2</v>
      </c>
      <c r="O86" s="566">
        <f t="shared" si="209"/>
        <v>0.15360200027665008</v>
      </c>
      <c r="P86" s="566">
        <f t="shared" si="209"/>
        <v>0.18187972852674386</v>
      </c>
      <c r="Q86" s="566">
        <f>SUM(E86:P86)</f>
        <v>1.5750522629925705</v>
      </c>
      <c r="S86" s="566">
        <f t="shared" ref="S86:T86" ca="1" si="210">+S85*(1-$D$86)</f>
        <v>8.2591981006575654</v>
      </c>
      <c r="T86" s="566">
        <f t="shared" ca="1" si="210"/>
        <v>9.2903284191833464</v>
      </c>
      <c r="U86" s="566">
        <f t="shared" ref="U86:AB86" ca="1" si="211">+U85*(1-$D$86)</f>
        <v>10.373042018798747</v>
      </c>
      <c r="V86" s="566">
        <f t="shared" ca="1" si="211"/>
        <v>11.509918064717112</v>
      </c>
      <c r="W86" s="566">
        <f t="shared" ca="1" si="211"/>
        <v>12.703664680412503</v>
      </c>
      <c r="X86" s="566">
        <f t="shared" ca="1" si="211"/>
        <v>13.957125395532733</v>
      </c>
      <c r="Y86" s="566">
        <f t="shared" ca="1" si="211"/>
        <v>15.273285916208057</v>
      </c>
      <c r="Z86" s="566">
        <f t="shared" ca="1" si="211"/>
        <v>16.655281233875286</v>
      </c>
      <c r="AA86" s="566">
        <f t="shared" ca="1" si="211"/>
        <v>18.106403089543139</v>
      </c>
      <c r="AB86" s="566">
        <f t="shared" ca="1" si="211"/>
        <v>19.630107811270804</v>
      </c>
      <c r="AC86" s="566">
        <f t="shared" ref="AC86:AL86" ca="1" si="212">+AC85*(1-$D$86)</f>
        <v>21.230024543520479</v>
      </c>
      <c r="AD86" s="566">
        <f t="shared" ca="1" si="212"/>
        <v>22.909963887977543</v>
      </c>
      <c r="AE86" s="566">
        <f t="shared" ca="1" si="212"/>
        <v>24.673926976411661</v>
      </c>
      <c r="AF86" s="566">
        <f t="shared" ca="1" si="212"/>
        <v>26.52611499718105</v>
      </c>
      <c r="AG86" s="566">
        <f t="shared" ca="1" si="212"/>
        <v>28.470939198061906</v>
      </c>
      <c r="AH86" s="566">
        <f t="shared" ca="1" si="212"/>
        <v>30.513031389219243</v>
      </c>
      <c r="AI86" s="566">
        <f t="shared" ca="1" si="212"/>
        <v>32.657254971326417</v>
      </c>
      <c r="AJ86" s="566">
        <f t="shared" ca="1" si="212"/>
        <v>34.908716515090475</v>
      </c>
      <c r="AK86" s="566">
        <f t="shared" ca="1" si="212"/>
        <v>37.272777919753885</v>
      </c>
      <c r="AL86" s="566">
        <f t="shared" ca="1" si="212"/>
        <v>39.755069179521264</v>
      </c>
      <c r="AY86" s="59"/>
      <c r="AZ86" s="7"/>
      <c r="BA86" s="7"/>
      <c r="BE86" s="1005" t="str">
        <f>A104</f>
        <v xml:space="preserve"> Medium - Ending</v>
      </c>
      <c r="BF86" s="1006"/>
      <c r="BG86" s="1006"/>
      <c r="BH86" s="1006"/>
      <c r="BI86" s="1006"/>
      <c r="BJ86" s="1006"/>
      <c r="BK86" s="1006"/>
      <c r="BL86" s="1006"/>
      <c r="BM86" s="1006"/>
      <c r="BN86" s="1006"/>
      <c r="BO86" s="1006"/>
      <c r="BP86" s="1006"/>
      <c r="BS86" s="756"/>
      <c r="BT86" s="756"/>
      <c r="BU86" s="756"/>
      <c r="BV86" s="756"/>
      <c r="BW86" s="756"/>
      <c r="BX86" s="756"/>
      <c r="BY86" s="756"/>
      <c r="BZ86" s="756"/>
      <c r="CA86" s="756"/>
      <c r="CB86" s="756"/>
      <c r="CC86" s="756"/>
      <c r="CD86" s="756"/>
    </row>
    <row r="87" spans="1:82" ht="24.75" customHeight="1">
      <c r="F87" s="59">
        <f>F83-E83</f>
        <v>0</v>
      </c>
      <c r="AZ87" s="44" t="s">
        <v>476</v>
      </c>
      <c r="BA87" s="44"/>
      <c r="BE87" s="51" t="str">
        <f>+BE75</f>
        <v>January</v>
      </c>
      <c r="BF87" s="51" t="str">
        <f t="shared" ref="BF87:BP87" si="213">+BF75</f>
        <v>February</v>
      </c>
      <c r="BG87" s="51" t="str">
        <f t="shared" si="213"/>
        <v>March</v>
      </c>
      <c r="BH87" s="51" t="str">
        <f t="shared" si="213"/>
        <v>April</v>
      </c>
      <c r="BI87" s="51" t="str">
        <f t="shared" si="213"/>
        <v xml:space="preserve">May </v>
      </c>
      <c r="BJ87" s="51" t="str">
        <f t="shared" si="213"/>
        <v>June</v>
      </c>
      <c r="BK87" s="51" t="str">
        <f t="shared" si="213"/>
        <v>July</v>
      </c>
      <c r="BL87" s="51" t="str">
        <f t="shared" si="213"/>
        <v xml:space="preserve">August </v>
      </c>
      <c r="BM87" s="51" t="str">
        <f t="shared" si="213"/>
        <v>September</v>
      </c>
      <c r="BN87" s="51" t="str">
        <f t="shared" si="213"/>
        <v>October</v>
      </c>
      <c r="BO87" s="51" t="str">
        <f t="shared" si="213"/>
        <v>November</v>
      </c>
      <c r="BP87" s="51" t="str">
        <f t="shared" si="213"/>
        <v>December</v>
      </c>
      <c r="BS87" s="1005" t="str">
        <f>+A90</f>
        <v>Income allocation to Short-Term</v>
      </c>
      <c r="BT87" s="1006"/>
      <c r="BU87" s="1006"/>
      <c r="BV87" s="1006"/>
      <c r="BW87" s="1006"/>
      <c r="BX87" s="1006"/>
      <c r="BY87" s="1006"/>
      <c r="BZ87" s="1006"/>
      <c r="CA87" s="1006"/>
      <c r="CB87" s="1006"/>
      <c r="CC87" s="1006"/>
      <c r="CD87" s="1006"/>
    </row>
    <row r="88" spans="1:82">
      <c r="A88" s="570" t="s">
        <v>466</v>
      </c>
      <c r="B88" s="571"/>
      <c r="C88" s="570"/>
      <c r="D88" s="572"/>
      <c r="E88" s="572">
        <f>D95</f>
        <v>129384.79396907208</v>
      </c>
      <c r="F88" s="572">
        <f>E95+E98</f>
        <v>110037.4063727176</v>
      </c>
      <c r="G88" s="572">
        <f t="shared" ref="G88:P88" si="214">F95+F98</f>
        <v>108165.42351657266</v>
      </c>
      <c r="H88" s="572">
        <f t="shared" si="214"/>
        <v>61236.674250542557</v>
      </c>
      <c r="I88" s="572">
        <f t="shared" si="214"/>
        <v>55246.462390071414</v>
      </c>
      <c r="J88" s="572">
        <f t="shared" si="214"/>
        <v>52245.800466218781</v>
      </c>
      <c r="K88" s="572">
        <f t="shared" si="214"/>
        <v>30716.51243864814</v>
      </c>
      <c r="L88" s="572">
        <f t="shared" si="214"/>
        <v>13642.352240176941</v>
      </c>
      <c r="M88" s="572">
        <f t="shared" si="214"/>
        <v>11545.921585722104</v>
      </c>
      <c r="N88" s="572">
        <f t="shared" si="214"/>
        <v>9444.5671023933064</v>
      </c>
      <c r="O88" s="572">
        <f t="shared" si="214"/>
        <v>3333.6284250310755</v>
      </c>
      <c r="P88" s="572">
        <f t="shared" si="214"/>
        <v>3.8822881033174399</v>
      </c>
      <c r="Q88" s="572">
        <f>D95</f>
        <v>129384.79396907208</v>
      </c>
      <c r="S88" s="572">
        <f>P95+P98</f>
        <v>129539.36467431458</v>
      </c>
      <c r="T88" s="572">
        <f t="shared" ref="T88" ca="1" si="215">S95+S98</f>
        <v>269977.13670422818</v>
      </c>
      <c r="U88" s="572">
        <f t="shared" ref="U88" ca="1" si="216">T95+T98</f>
        <v>287128.18330079707</v>
      </c>
      <c r="V88" s="572">
        <f t="shared" ref="V88" ca="1" si="217">U95+U98</f>
        <v>305368.79771391762</v>
      </c>
      <c r="W88" s="572">
        <f t="shared" ref="W88" ca="1" si="218">V95+V98</f>
        <v>324768.19776188326</v>
      </c>
      <c r="X88" s="572">
        <f t="shared" ref="X88" ca="1" si="219">W95+W98</f>
        <v>345399.99851692305</v>
      </c>
      <c r="Y88" s="572">
        <f t="shared" ref="Y88" ca="1" si="220">X95+X98</f>
        <v>367342.49165295687</v>
      </c>
      <c r="Z88" s="572">
        <f t="shared" ref="Z88" ca="1" si="221">Y95+Y98</f>
        <v>390678.94253969204</v>
      </c>
      <c r="AA88" s="572">
        <f t="shared" ref="AA88" ca="1" si="222">Z95+Z98</f>
        <v>415497.90621044644</v>
      </c>
      <c r="AB88" s="572">
        <f t="shared" ref="AB88" ca="1" si="223">AA95+AA98</f>
        <v>441893.56340270449</v>
      </c>
      <c r="AC88" s="572">
        <f t="shared" ref="AC88" ca="1" si="224">AB95+AB98</f>
        <v>469966.07794658135</v>
      </c>
      <c r="AD88" s="572">
        <f t="shared" ref="AD88" ca="1" si="225">AC95+AC98</f>
        <v>499821.97685738094</v>
      </c>
      <c r="AE88" s="572">
        <f t="shared" ref="AE88" ca="1" si="226">AD95+AD98</f>
        <v>531574.55457458831</v>
      </c>
      <c r="AF88" s="572">
        <f t="shared" ref="AF88" ca="1" si="227">AE95+AE98</f>
        <v>565344.30288126541</v>
      </c>
      <c r="AG88" s="572">
        <f t="shared" ref="AG88" ca="1" si="228">AF95+AF98</f>
        <v>601259.36813526892</v>
      </c>
      <c r="AH88" s="572">
        <f t="shared" ref="AH88" ca="1" si="229">AG95+AG98</f>
        <v>639456.03754734993</v>
      </c>
      <c r="AI88" s="572">
        <f t="shared" ref="AI88" ca="1" si="230">AH95+AH98</f>
        <v>680079.25635141903</v>
      </c>
      <c r="AJ88" s="572">
        <f t="shared" ref="AJ88" ca="1" si="231">AI95+AI98</f>
        <v>723283.17782948713</v>
      </c>
      <c r="AK88" s="572">
        <f t="shared" ref="AK88" ca="1" si="232">AJ95+AJ98</f>
        <v>769231.74827846652</v>
      </c>
      <c r="AL88" s="572">
        <f t="shared" ref="AL88" ca="1" si="233">AK95+AK98</f>
        <v>818099.32913861098</v>
      </c>
      <c r="AX88" s="1006" t="s">
        <v>494</v>
      </c>
      <c r="AY88" s="1006"/>
      <c r="AZ88" s="171">
        <v>0</v>
      </c>
      <c r="BA88" s="171">
        <v>1</v>
      </c>
      <c r="BD88" s="44" t="s">
        <v>476</v>
      </c>
      <c r="BE88" s="161">
        <f t="shared" ref="BE88:BP88" ca="1" si="234">+E104</f>
        <v>135000</v>
      </c>
      <c r="BF88" s="161">
        <f t="shared" ca="1" si="234"/>
        <v>135288.8438</v>
      </c>
      <c r="BG88" s="161">
        <f t="shared" ca="1" si="234"/>
        <v>135578.30559999999</v>
      </c>
      <c r="BH88" s="161">
        <f t="shared" ca="1" si="234"/>
        <v>135868.3867</v>
      </c>
      <c r="BI88" s="161">
        <f t="shared" ca="1" si="234"/>
        <v>136159.08840000001</v>
      </c>
      <c r="BJ88" s="161">
        <f t="shared" ca="1" si="234"/>
        <v>136450.41209999999</v>
      </c>
      <c r="BK88" s="161">
        <f t="shared" ca="1" si="234"/>
        <v>136742.3591</v>
      </c>
      <c r="BL88" s="161">
        <f t="shared" ca="1" si="234"/>
        <v>137034.9308</v>
      </c>
      <c r="BM88" s="161">
        <f t="shared" ca="1" si="234"/>
        <v>137328.12849999999</v>
      </c>
      <c r="BN88" s="161">
        <f t="shared" ca="1" si="234"/>
        <v>137621.9535</v>
      </c>
      <c r="BO88" s="161">
        <f t="shared" ca="1" si="234"/>
        <v>137916.40710000001</v>
      </c>
      <c r="BP88" s="161">
        <f t="shared" ca="1" si="234"/>
        <v>138211.49069999999</v>
      </c>
      <c r="BS88" s="51" t="str">
        <f t="shared" ref="BS88:CD88" si="235">BE$75</f>
        <v>January</v>
      </c>
      <c r="BT88" s="51" t="str">
        <f t="shared" si="235"/>
        <v>February</v>
      </c>
      <c r="BU88" s="51" t="str">
        <f t="shared" si="235"/>
        <v>March</v>
      </c>
      <c r="BV88" s="51" t="str">
        <f t="shared" si="235"/>
        <v>April</v>
      </c>
      <c r="BW88" s="51" t="str">
        <f t="shared" si="235"/>
        <v xml:space="preserve">May </v>
      </c>
      <c r="BX88" s="51" t="str">
        <f t="shared" si="235"/>
        <v>June</v>
      </c>
      <c r="BY88" s="51" t="str">
        <f t="shared" si="235"/>
        <v>July</v>
      </c>
      <c r="BZ88" s="51" t="str">
        <f t="shared" si="235"/>
        <v xml:space="preserve">August </v>
      </c>
      <c r="CA88" s="51" t="str">
        <f t="shared" si="235"/>
        <v>September</v>
      </c>
      <c r="CB88" s="51" t="str">
        <f t="shared" si="235"/>
        <v>October</v>
      </c>
      <c r="CC88" s="51" t="str">
        <f t="shared" si="235"/>
        <v>November</v>
      </c>
      <c r="CD88" s="51" t="str">
        <f t="shared" si="235"/>
        <v>December</v>
      </c>
    </row>
    <row r="89" spans="1:82">
      <c r="A89" s="3" t="s">
        <v>447</v>
      </c>
      <c r="B89" s="11"/>
      <c r="C89" s="1"/>
      <c r="D89" s="59"/>
      <c r="E89" s="170">
        <f>IF($C$71=1,OPTIMIZER!$X$25,0)</f>
        <v>0</v>
      </c>
      <c r="F89" s="170">
        <f>IF($C$71=1,OPTIMIZER!$X$25,0)</f>
        <v>0</v>
      </c>
      <c r="G89" s="170">
        <f>IF($C$71=1,OPTIMIZER!$X$25,0)</f>
        <v>0</v>
      </c>
      <c r="H89" s="170">
        <f>IF($C$71=1,OPTIMIZER!$X$25,0)</f>
        <v>0</v>
      </c>
      <c r="I89" s="170">
        <f>IF($C$71=1,OPTIMIZER!$X$25,0)</f>
        <v>0</v>
      </c>
      <c r="J89" s="170">
        <f>IF($C$71=1,OPTIMIZER!$X$25,0)</f>
        <v>0</v>
      </c>
      <c r="K89" s="170">
        <f>IF($C$71=1,OPTIMIZER!$X$25,0)</f>
        <v>0</v>
      </c>
      <c r="L89" s="170">
        <f>IF($C$71=1,OPTIMIZER!$X$25,0)</f>
        <v>0</v>
      </c>
      <c r="M89" s="170">
        <f>IF($C$71=1,OPTIMIZER!$X$25,0)</f>
        <v>0</v>
      </c>
      <c r="N89" s="170">
        <f>IF($C$71=1,OPTIMIZER!$X$25,0)</f>
        <v>0</v>
      </c>
      <c r="O89" s="170">
        <f>IF($C$71=1,OPTIMIZER!$X$25,0)</f>
        <v>0</v>
      </c>
      <c r="P89" s="484">
        <f>IF($C$71=1,OPTIMIZER!R25,1-P77)</f>
        <v>0.54951157496178971</v>
      </c>
      <c r="Q89" s="170">
        <f ca="1">+Q90/$Q$16</f>
        <v>0.3103126413694452</v>
      </c>
      <c r="S89" s="170">
        <f t="shared" ref="S89:AL89" ca="1" si="236">+S90/S10</f>
        <v>2.7323780816779011E-2</v>
      </c>
      <c r="T89" s="170">
        <f t="shared" ca="1" si="236"/>
        <v>2.7675809330003801E-2</v>
      </c>
      <c r="U89" s="170">
        <f t="shared" ca="1" si="236"/>
        <v>2.80323732358581E-2</v>
      </c>
      <c r="V89" s="170">
        <f t="shared" ca="1" si="236"/>
        <v>2.8393530966501292E-2</v>
      </c>
      <c r="W89" s="170">
        <f t="shared" ca="1" si="236"/>
        <v>2.8759341706909639E-2</v>
      </c>
      <c r="X89" s="170">
        <f t="shared" ca="1" si="236"/>
        <v>2.9129865404574181E-2</v>
      </c>
      <c r="Y89" s="170">
        <f t="shared" ca="1" si="236"/>
        <v>2.9505162779325276E-2</v>
      </c>
      <c r="Z89" s="170">
        <f t="shared" ca="1" si="236"/>
        <v>2.9885295333282911E-2</v>
      </c>
      <c r="AA89" s="170">
        <f t="shared" ca="1" si="236"/>
        <v>3.027032536093564E-2</v>
      </c>
      <c r="AB89" s="170">
        <f t="shared" ca="1" si="236"/>
        <v>3.0660315959348639E-2</v>
      </c>
      <c r="AC89" s="170">
        <f t="shared" ca="1" si="236"/>
        <v>3.1055331038504323E-2</v>
      </c>
      <c r="AD89" s="170">
        <f t="shared" ca="1" si="236"/>
        <v>3.1455435331775305E-2</v>
      </c>
      <c r="AE89" s="170">
        <f t="shared" ca="1" si="236"/>
        <v>3.1860694406532872E-2</v>
      </c>
      <c r="AF89" s="170">
        <f t="shared" ca="1" si="236"/>
        <v>3.2271174674891441E-2</v>
      </c>
      <c r="AG89" s="170">
        <f t="shared" ca="1" si="236"/>
        <v>3.2686943404592411E-2</v>
      </c>
      <c r="AH89" s="170">
        <f t="shared" ca="1" si="236"/>
        <v>3.310806873002746E-2</v>
      </c>
      <c r="AI89" s="170">
        <f t="shared" ca="1" si="236"/>
        <v>3.3534619663404139E-2</v>
      </c>
      <c r="AJ89" s="170">
        <f t="shared" ca="1" si="236"/>
        <v>3.3966666106055192E-2</v>
      </c>
      <c r="AK89" s="170">
        <f t="shared" ca="1" si="236"/>
        <v>3.4404278859894007E-2</v>
      </c>
      <c r="AL89" s="170">
        <f t="shared" ca="1" si="236"/>
        <v>3.4847529639016932E-2</v>
      </c>
      <c r="AX89" t="s">
        <v>257</v>
      </c>
      <c r="AY89" s="59">
        <f>Q86</f>
        <v>1.5750522629925705</v>
      </c>
      <c r="AZ89" s="7">
        <f t="dataTable" ref="AZ89:BA91" dt2D="0" dtr="1" r1="C71" ca="1"/>
        <v>6.7369010161926397</v>
      </c>
      <c r="BA89" s="7">
        <v>1.5750522629925705</v>
      </c>
      <c r="BD89">
        <v>0</v>
      </c>
      <c r="BE89" s="756">
        <f t="dataTable" ref="BE89:BP90" dt2D="0" dtr="0" r1="C71" ca="1"/>
        <v>135000</v>
      </c>
      <c r="BF89" s="756">
        <v>135288.8438</v>
      </c>
      <c r="BG89" s="756">
        <v>135578.30559999999</v>
      </c>
      <c r="BH89" s="756">
        <v>135868.3867</v>
      </c>
      <c r="BI89" s="756">
        <v>136159.08840000001</v>
      </c>
      <c r="BJ89" s="756">
        <v>136450.41209999999</v>
      </c>
      <c r="BK89" s="756">
        <v>136742.3591</v>
      </c>
      <c r="BL89" s="756">
        <v>137034.9308</v>
      </c>
      <c r="BM89" s="756">
        <v>137328.12849999999</v>
      </c>
      <c r="BN89" s="756">
        <v>137621.9535</v>
      </c>
      <c r="BO89" s="756">
        <v>137916.40710000001</v>
      </c>
      <c r="BP89" s="756">
        <v>138211.49069999999</v>
      </c>
      <c r="BR89" s="44" t="s">
        <v>476</v>
      </c>
      <c r="BS89" s="161">
        <f t="shared" ref="BS89:CD89" si="237">+E90</f>
        <v>0</v>
      </c>
      <c r="BT89" s="161">
        <f t="shared" si="237"/>
        <v>0</v>
      </c>
      <c r="BU89" s="161">
        <f t="shared" si="237"/>
        <v>0</v>
      </c>
      <c r="BV89" s="161">
        <f t="shared" si="237"/>
        <v>0</v>
      </c>
      <c r="BW89" s="161">
        <f t="shared" si="237"/>
        <v>0</v>
      </c>
      <c r="BX89" s="161">
        <f t="shared" si="237"/>
        <v>0</v>
      </c>
      <c r="BY89" s="161">
        <f t="shared" si="237"/>
        <v>0</v>
      </c>
      <c r="BZ89" s="161">
        <f t="shared" si="237"/>
        <v>0</v>
      </c>
      <c r="CA89" s="161">
        <f t="shared" si="237"/>
        <v>0</v>
      </c>
      <c r="CB89" s="161">
        <f t="shared" si="237"/>
        <v>0</v>
      </c>
      <c r="CC89" s="161">
        <f t="shared" si="237"/>
        <v>0</v>
      </c>
      <c r="CD89" s="161">
        <f t="shared" si="237"/>
        <v>129384.79396907208</v>
      </c>
    </row>
    <row r="90" spans="1:82">
      <c r="A90" s="2" t="s">
        <v>595</v>
      </c>
      <c r="B90" s="11"/>
      <c r="D90" s="59"/>
      <c r="E90" s="59">
        <f>E89*E$10</f>
        <v>0</v>
      </c>
      <c r="F90" s="59">
        <f t="shared" ref="F90:P90" si="238">F89*F$10</f>
        <v>0</v>
      </c>
      <c r="G90" s="59">
        <f t="shared" si="238"/>
        <v>0</v>
      </c>
      <c r="H90" s="59">
        <f t="shared" si="238"/>
        <v>0</v>
      </c>
      <c r="I90" s="59">
        <f t="shared" si="238"/>
        <v>0</v>
      </c>
      <c r="J90" s="59">
        <f t="shared" si="238"/>
        <v>0</v>
      </c>
      <c r="K90" s="59">
        <f t="shared" si="238"/>
        <v>0</v>
      </c>
      <c r="L90" s="59">
        <f t="shared" si="238"/>
        <v>0</v>
      </c>
      <c r="M90" s="59">
        <f t="shared" si="238"/>
        <v>0</v>
      </c>
      <c r="N90" s="59">
        <f t="shared" si="238"/>
        <v>0</v>
      </c>
      <c r="O90" s="59">
        <f t="shared" si="238"/>
        <v>0</v>
      </c>
      <c r="P90" s="59">
        <f t="shared" si="238"/>
        <v>129384.79396907208</v>
      </c>
      <c r="Q90" s="59">
        <f>SUM(E90:P90)</f>
        <v>129384.79396907208</v>
      </c>
      <c r="S90" s="59">
        <f t="shared" ref="S90:AL90" ca="1" si="239">MIN(S93-S91-S88,S10-S78)</f>
        <v>12692.528734919761</v>
      </c>
      <c r="T90" s="59">
        <f t="shared" ca="1" si="239"/>
        <v>13498.856835211394</v>
      </c>
      <c r="U90" s="59">
        <f t="shared" ca="1" si="239"/>
        <v>14356.409165039891</v>
      </c>
      <c r="V90" s="59">
        <f t="shared" ca="1" si="239"/>
        <v>15268.439885695872</v>
      </c>
      <c r="W90" s="59">
        <f t="shared" ca="1" si="239"/>
        <v>16238.409888094175</v>
      </c>
      <c r="X90" s="59">
        <f t="shared" ca="1" si="239"/>
        <v>17269.999925846176</v>
      </c>
      <c r="Y90" s="59">
        <f t="shared" ca="1" si="239"/>
        <v>18367.12458264787</v>
      </c>
      <c r="Z90" s="59">
        <f t="shared" ca="1" si="239"/>
        <v>19533.947126984596</v>
      </c>
      <c r="AA90" s="59">
        <f t="shared" ca="1" si="239"/>
        <v>20774.895310522348</v>
      </c>
      <c r="AB90" s="59">
        <f t="shared" ca="1" si="239"/>
        <v>22094.678170135245</v>
      </c>
      <c r="AC90" s="59">
        <f t="shared" ca="1" si="239"/>
        <v>23498.303897329082</v>
      </c>
      <c r="AD90" s="59">
        <f t="shared" ca="1" si="239"/>
        <v>24991.098842869047</v>
      </c>
      <c r="AE90" s="59">
        <f t="shared" ca="1" si="239"/>
        <v>26578.727728729486</v>
      </c>
      <c r="AF90" s="59">
        <f t="shared" ca="1" si="239"/>
        <v>28267.215144063346</v>
      </c>
      <c r="AG90" s="59">
        <f t="shared" ca="1" si="239"/>
        <v>30062.96840676351</v>
      </c>
      <c r="AH90" s="59">
        <f t="shared" ca="1" si="239"/>
        <v>31972.801877367543</v>
      </c>
      <c r="AI90" s="59">
        <f t="shared" ca="1" si="239"/>
        <v>34003.96281757101</v>
      </c>
      <c r="AJ90" s="59">
        <f t="shared" ca="1" si="239"/>
        <v>36164.158891474362</v>
      </c>
      <c r="AK90" s="59">
        <f t="shared" ca="1" si="239"/>
        <v>38461.587413923349</v>
      </c>
      <c r="AL90" s="59">
        <f t="shared" ca="1" si="239"/>
        <v>40904.966456930619</v>
      </c>
      <c r="AX90" t="s">
        <v>467</v>
      </c>
      <c r="AY90" s="59">
        <f>Q98</f>
        <v>1361.1652975489849</v>
      </c>
      <c r="AZ90" s="7">
        <v>3258.8776067811186</v>
      </c>
      <c r="BA90" s="7">
        <v>1361.1652975489849</v>
      </c>
      <c r="BD90">
        <v>1</v>
      </c>
      <c r="BE90" s="756">
        <v>135000</v>
      </c>
      <c r="BF90" s="756">
        <v>135288.8438</v>
      </c>
      <c r="BG90" s="756">
        <v>135578.30559999999</v>
      </c>
      <c r="BH90" s="756">
        <v>135868.3867</v>
      </c>
      <c r="BI90" s="756">
        <v>136159.08840000001</v>
      </c>
      <c r="BJ90" s="756">
        <v>136450.41209999999</v>
      </c>
      <c r="BK90" s="756">
        <v>136742.3591</v>
      </c>
      <c r="BL90" s="756">
        <v>137034.9308</v>
      </c>
      <c r="BM90" s="756">
        <v>137328.12849999999</v>
      </c>
      <c r="BN90" s="756">
        <v>137621.9535</v>
      </c>
      <c r="BO90" s="756">
        <v>137916.40710000001</v>
      </c>
      <c r="BP90" s="756">
        <v>138211.49069999999</v>
      </c>
      <c r="BR90">
        <v>0</v>
      </c>
      <c r="BS90" s="756">
        <f t="dataTable" ref="BS90:CD91" dt2D="0" dtr="0" r1="C71" ca="1"/>
        <v>0</v>
      </c>
      <c r="BT90" s="756">
        <v>0</v>
      </c>
      <c r="BU90" s="756">
        <v>0</v>
      </c>
      <c r="BV90" s="756">
        <v>0</v>
      </c>
      <c r="BW90" s="756">
        <v>0</v>
      </c>
      <c r="BX90" s="756">
        <v>0</v>
      </c>
      <c r="BY90" s="756">
        <v>0</v>
      </c>
      <c r="BZ90" s="756">
        <v>0</v>
      </c>
      <c r="CA90" s="756">
        <v>0</v>
      </c>
      <c r="CB90" s="756">
        <v>0</v>
      </c>
      <c r="CC90" s="756">
        <v>0</v>
      </c>
      <c r="CD90" s="756">
        <v>139970.95917525774</v>
      </c>
    </row>
    <row r="91" spans="1:82">
      <c r="A91" s="2" t="s">
        <v>452</v>
      </c>
      <c r="B91" s="11"/>
      <c r="D91" s="59"/>
      <c r="E91" s="59">
        <f t="shared" ref="E91:P91" si="240">-E82</f>
        <v>-19625.890360824742</v>
      </c>
      <c r="F91" s="59">
        <f t="shared" si="240"/>
        <v>-2125.8026408292644</v>
      </c>
      <c r="G91" s="59">
        <f>-G82</f>
        <v>-47125.802640645532</v>
      </c>
      <c r="H91" s="59">
        <f t="shared" si="240"/>
        <v>-6125.7083830253032</v>
      </c>
      <c r="I91" s="59">
        <f t="shared" si="240"/>
        <v>-3125.7000043727458</v>
      </c>
      <c r="J91" s="59">
        <f t="shared" si="240"/>
        <v>-21625.792167361637</v>
      </c>
      <c r="K91" s="59">
        <f t="shared" si="240"/>
        <v>-17125.759701041046</v>
      </c>
      <c r="L91" s="59">
        <f t="shared" si="240"/>
        <v>-2125.7303763800883</v>
      </c>
      <c r="M91" s="59">
        <f t="shared" si="240"/>
        <v>-2125.7712212874176</v>
      </c>
      <c r="N91" s="59">
        <f t="shared" si="240"/>
        <v>-6125.8026405797136</v>
      </c>
      <c r="O91" s="59">
        <f t="shared" si="240"/>
        <v>-29578.754262190399</v>
      </c>
      <c r="P91" s="59">
        <f t="shared" si="240"/>
        <v>0</v>
      </c>
      <c r="Q91" s="59">
        <f>SUM(E91:P91)</f>
        <v>-156836.5143985379</v>
      </c>
      <c r="R91" s="59" t="b">
        <f>+Q91=SUM(E91:P91)</f>
        <v>1</v>
      </c>
      <c r="S91" s="59">
        <f t="shared" ref="S91" ca="1" si="241">-S82</f>
        <v>0</v>
      </c>
      <c r="T91" s="59">
        <f t="shared" ref="T91:AB91" ca="1" si="242">-T82</f>
        <v>0</v>
      </c>
      <c r="U91" s="59">
        <f t="shared" ca="1" si="242"/>
        <v>0</v>
      </c>
      <c r="V91" s="59">
        <f t="shared" ca="1" si="242"/>
        <v>0</v>
      </c>
      <c r="W91" s="59">
        <f t="shared" ca="1" si="242"/>
        <v>0</v>
      </c>
      <c r="X91" s="59">
        <f t="shared" ca="1" si="242"/>
        <v>0</v>
      </c>
      <c r="Y91" s="59">
        <f t="shared" ca="1" si="242"/>
        <v>0</v>
      </c>
      <c r="Z91" s="59">
        <f t="shared" ca="1" si="242"/>
        <v>0</v>
      </c>
      <c r="AA91" s="59">
        <f t="shared" ca="1" si="242"/>
        <v>0</v>
      </c>
      <c r="AB91" s="59">
        <f t="shared" ca="1" si="242"/>
        <v>0</v>
      </c>
      <c r="AC91" s="59">
        <f t="shared" ref="AC91:AL91" ca="1" si="243">-AC82</f>
        <v>0</v>
      </c>
      <c r="AD91" s="59">
        <f t="shared" ca="1" si="243"/>
        <v>0</v>
      </c>
      <c r="AE91" s="59">
        <f t="shared" ca="1" si="243"/>
        <v>0</v>
      </c>
      <c r="AF91" s="59">
        <f t="shared" ca="1" si="243"/>
        <v>0</v>
      </c>
      <c r="AG91" s="59">
        <f t="shared" ca="1" si="243"/>
        <v>0</v>
      </c>
      <c r="AH91" s="59">
        <f t="shared" ca="1" si="243"/>
        <v>0</v>
      </c>
      <c r="AI91" s="59">
        <f t="shared" ca="1" si="243"/>
        <v>0</v>
      </c>
      <c r="AJ91" s="59">
        <f t="shared" ca="1" si="243"/>
        <v>0</v>
      </c>
      <c r="AK91" s="59">
        <f t="shared" ca="1" si="243"/>
        <v>0</v>
      </c>
      <c r="AL91" s="59">
        <f t="shared" ca="1" si="243"/>
        <v>0</v>
      </c>
      <c r="AM91" s="59"/>
      <c r="AN91" s="59"/>
      <c r="AO91" s="59"/>
      <c r="AP91" s="59"/>
      <c r="AQ91" s="59"/>
      <c r="AR91" s="59"/>
      <c r="AS91" s="59"/>
      <c r="AT91" s="59"/>
      <c r="AU91" s="59"/>
      <c r="AV91" s="59"/>
      <c r="AW91" s="59"/>
      <c r="AX91" t="s">
        <v>468</v>
      </c>
      <c r="AY91" s="59">
        <f ca="1">Q108</f>
        <v>3507.2056553043926</v>
      </c>
      <c r="AZ91" s="7">
        <v>3507.2056553043926</v>
      </c>
      <c r="BA91" s="7">
        <v>3507.2056553043926</v>
      </c>
      <c r="BR91">
        <v>1</v>
      </c>
      <c r="BS91" s="756">
        <v>0</v>
      </c>
      <c r="BT91" s="756">
        <v>0</v>
      </c>
      <c r="BU91" s="756">
        <v>0</v>
      </c>
      <c r="BV91" s="756">
        <v>0</v>
      </c>
      <c r="BW91" s="756">
        <v>0</v>
      </c>
      <c r="BX91" s="756">
        <v>0</v>
      </c>
      <c r="BY91" s="756">
        <v>0</v>
      </c>
      <c r="BZ91" s="756">
        <v>0</v>
      </c>
      <c r="CA91" s="756">
        <v>0</v>
      </c>
      <c r="CB91" s="756">
        <v>0</v>
      </c>
      <c r="CC91" s="756">
        <v>0</v>
      </c>
      <c r="CD91" s="756">
        <v>129384.79396907208</v>
      </c>
    </row>
    <row r="92" spans="1:82">
      <c r="A92" s="1" t="s">
        <v>463</v>
      </c>
      <c r="B92" s="11"/>
      <c r="D92" s="59"/>
      <c r="E92" s="60">
        <f>+E88+E90+E91</f>
        <v>109758.90360824735</v>
      </c>
      <c r="F92" s="60">
        <f>+F88+F90+F91</f>
        <v>107911.60373188833</v>
      </c>
      <c r="G92" s="60">
        <f t="shared" ref="G92:Q92" si="244">+G88+G90+G91</f>
        <v>61039.620875927125</v>
      </c>
      <c r="H92" s="60">
        <f t="shared" si="244"/>
        <v>55110.965867517254</v>
      </c>
      <c r="I92" s="60">
        <f t="shared" si="244"/>
        <v>52120.762385698668</v>
      </c>
      <c r="J92" s="60">
        <f t="shared" si="244"/>
        <v>30620.008298857145</v>
      </c>
      <c r="K92" s="60">
        <f t="shared" si="244"/>
        <v>13590.752737607094</v>
      </c>
      <c r="L92" s="60">
        <f t="shared" si="244"/>
        <v>11516.621863796852</v>
      </c>
      <c r="M92" s="60">
        <f t="shared" si="244"/>
        <v>9420.1503644346867</v>
      </c>
      <c r="N92" s="60">
        <f t="shared" si="244"/>
        <v>3318.7644618135928</v>
      </c>
      <c r="O92" s="60">
        <f t="shared" si="244"/>
        <v>-26245.125837159325</v>
      </c>
      <c r="P92" s="60">
        <f t="shared" si="244"/>
        <v>129388.67625717539</v>
      </c>
      <c r="Q92" s="60">
        <f t="shared" si="244"/>
        <v>101933.07353960627</v>
      </c>
      <c r="S92" s="60">
        <f ca="1">+S88+S90+S91</f>
        <v>266543.103433315</v>
      </c>
      <c r="T92" s="60">
        <f t="shared" ref="T92:AB92" ca="1" si="245">+T88+T90+T91</f>
        <v>283475.99353943957</v>
      </c>
      <c r="U92" s="60">
        <f t="shared" ca="1" si="245"/>
        <v>301484.59246583696</v>
      </c>
      <c r="V92" s="60">
        <f t="shared" ca="1" si="245"/>
        <v>320637.23759961349</v>
      </c>
      <c r="W92" s="60">
        <f t="shared" ca="1" si="245"/>
        <v>341006.60764997744</v>
      </c>
      <c r="X92" s="60">
        <f t="shared" ca="1" si="245"/>
        <v>362669.99844276923</v>
      </c>
      <c r="Y92" s="60">
        <f t="shared" ca="1" si="245"/>
        <v>385709.61623560474</v>
      </c>
      <c r="Z92" s="60">
        <f t="shared" ca="1" si="245"/>
        <v>410212.88966667664</v>
      </c>
      <c r="AA92" s="60">
        <f t="shared" ca="1" si="245"/>
        <v>436272.80152096879</v>
      </c>
      <c r="AB92" s="60">
        <f t="shared" ca="1" si="245"/>
        <v>463988.24157283973</v>
      </c>
      <c r="AC92" s="60">
        <f t="shared" ref="AC92:AL92" ca="1" si="246">+AC88+AC90+AC91</f>
        <v>493464.38184391044</v>
      </c>
      <c r="AD92" s="60">
        <f t="shared" ca="1" si="246"/>
        <v>524813.07570024999</v>
      </c>
      <c r="AE92" s="60">
        <f t="shared" ca="1" si="246"/>
        <v>558153.2823033178</v>
      </c>
      <c r="AF92" s="60">
        <f t="shared" ca="1" si="246"/>
        <v>593611.51802532875</v>
      </c>
      <c r="AG92" s="60">
        <f t="shared" ca="1" si="246"/>
        <v>631322.33654203243</v>
      </c>
      <c r="AH92" s="60">
        <f t="shared" ca="1" si="246"/>
        <v>671428.83942471747</v>
      </c>
      <c r="AI92" s="60">
        <f t="shared" ca="1" si="246"/>
        <v>714083.21916899004</v>
      </c>
      <c r="AJ92" s="60">
        <f t="shared" ca="1" si="246"/>
        <v>759447.3367209615</v>
      </c>
      <c r="AK92" s="60">
        <f t="shared" ca="1" si="246"/>
        <v>807693.33569238987</v>
      </c>
      <c r="AL92" s="60">
        <f t="shared" ca="1" si="246"/>
        <v>859004.2955955416</v>
      </c>
      <c r="BE92" s="1005" t="str">
        <f>A116</f>
        <v>Long - Ending</v>
      </c>
      <c r="BF92" s="1006"/>
      <c r="BG92" s="1006"/>
      <c r="BH92" s="1006"/>
      <c r="BI92" s="1006"/>
      <c r="BJ92" s="1006"/>
      <c r="BK92" s="1006"/>
      <c r="BL92" s="1006"/>
      <c r="BM92" s="1006"/>
      <c r="BN92" s="1006"/>
      <c r="BO92" s="1006"/>
      <c r="BP92" s="1006"/>
      <c r="BS92" s="756"/>
      <c r="BT92" s="756"/>
      <c r="BU92" s="756"/>
      <c r="BV92" s="756"/>
      <c r="BW92" s="756"/>
      <c r="BX92" s="756"/>
      <c r="BY92" s="756"/>
      <c r="BZ92" s="756"/>
      <c r="CA92" s="756"/>
      <c r="CB92" s="756"/>
      <c r="CC92" s="756"/>
      <c r="CD92" s="756"/>
    </row>
    <row r="93" spans="1:82" ht="21.75" customHeight="1">
      <c r="A93" s="563" t="s">
        <v>454</v>
      </c>
      <c r="B93" s="19"/>
      <c r="C93" s="1"/>
      <c r="E93" s="569">
        <v>0</v>
      </c>
      <c r="F93" s="558">
        <f>+E93</f>
        <v>0</v>
      </c>
      <c r="G93" s="558">
        <f t="shared" ref="G93:P93" si="247">+F93</f>
        <v>0</v>
      </c>
      <c r="H93" s="558">
        <f t="shared" si="247"/>
        <v>0</v>
      </c>
      <c r="I93" s="558">
        <f t="shared" si="247"/>
        <v>0</v>
      </c>
      <c r="J93" s="558">
        <f t="shared" si="247"/>
        <v>0</v>
      </c>
      <c r="K93" s="558">
        <f t="shared" si="247"/>
        <v>0</v>
      </c>
      <c r="L93" s="558">
        <f t="shared" si="247"/>
        <v>0</v>
      </c>
      <c r="M93" s="558">
        <f t="shared" si="247"/>
        <v>0</v>
      </c>
      <c r="N93" s="558">
        <f t="shared" si="247"/>
        <v>0</v>
      </c>
      <c r="O93" s="558">
        <f t="shared" si="247"/>
        <v>0</v>
      </c>
      <c r="P93" s="558">
        <f t="shared" si="247"/>
        <v>0</v>
      </c>
      <c r="Q93" s="558"/>
      <c r="R93" s="60"/>
      <c r="S93" s="569">
        <f t="shared" ref="S93:AL93" si="248">+S88*(1+S64)</f>
        <v>136016.33290803031</v>
      </c>
      <c r="T93" s="569">
        <f t="shared" ca="1" si="248"/>
        <v>283475.99353943957</v>
      </c>
      <c r="U93" s="569">
        <f t="shared" ca="1" si="248"/>
        <v>301484.59246583696</v>
      </c>
      <c r="V93" s="569">
        <f t="shared" ca="1" si="248"/>
        <v>320637.23759961349</v>
      </c>
      <c r="W93" s="569">
        <f t="shared" ca="1" si="248"/>
        <v>341006.60764997744</v>
      </c>
      <c r="X93" s="569">
        <f t="shared" ca="1" si="248"/>
        <v>362669.99844276923</v>
      </c>
      <c r="Y93" s="569">
        <f t="shared" ca="1" si="248"/>
        <v>385709.61623560474</v>
      </c>
      <c r="Z93" s="569">
        <f t="shared" ca="1" si="248"/>
        <v>410212.88966667664</v>
      </c>
      <c r="AA93" s="569">
        <f t="shared" ca="1" si="248"/>
        <v>436272.80152096879</v>
      </c>
      <c r="AB93" s="569">
        <f t="shared" ca="1" si="248"/>
        <v>463988.24157283973</v>
      </c>
      <c r="AC93" s="569">
        <f t="shared" ca="1" si="248"/>
        <v>493464.38184391044</v>
      </c>
      <c r="AD93" s="569">
        <f t="shared" ca="1" si="248"/>
        <v>524813.07570024999</v>
      </c>
      <c r="AE93" s="569">
        <f t="shared" ca="1" si="248"/>
        <v>558153.2823033178</v>
      </c>
      <c r="AF93" s="569">
        <f t="shared" ca="1" si="248"/>
        <v>593611.51802532875</v>
      </c>
      <c r="AG93" s="569">
        <f t="shared" ca="1" si="248"/>
        <v>631322.33654203243</v>
      </c>
      <c r="AH93" s="569">
        <f t="shared" ca="1" si="248"/>
        <v>671428.83942471747</v>
      </c>
      <c r="AI93" s="569">
        <f t="shared" ca="1" si="248"/>
        <v>714083.21916899004</v>
      </c>
      <c r="AJ93" s="569">
        <f t="shared" ca="1" si="248"/>
        <v>759447.3367209615</v>
      </c>
      <c r="AK93" s="569">
        <f t="shared" ca="1" si="248"/>
        <v>807693.33569238987</v>
      </c>
      <c r="AL93" s="569">
        <f t="shared" ca="1" si="248"/>
        <v>859004.2955955416</v>
      </c>
      <c r="AM93" s="60"/>
      <c r="AN93" s="60"/>
      <c r="AO93" s="60"/>
      <c r="AP93" s="60"/>
      <c r="AQ93" s="60"/>
      <c r="AR93" s="60"/>
      <c r="AS93" s="60"/>
      <c r="AT93" s="60"/>
      <c r="AU93" s="60"/>
      <c r="AV93" s="60"/>
      <c r="AW93" s="60"/>
      <c r="BE93" s="51" t="str">
        <f>+BE75</f>
        <v>January</v>
      </c>
      <c r="BF93" s="51" t="str">
        <f t="shared" ref="BF93:BP93" si="249">+BF75</f>
        <v>February</v>
      </c>
      <c r="BG93" s="51" t="str">
        <f t="shared" si="249"/>
        <v>March</v>
      </c>
      <c r="BH93" s="51" t="str">
        <f t="shared" si="249"/>
        <v>April</v>
      </c>
      <c r="BI93" s="51" t="str">
        <f t="shared" si="249"/>
        <v xml:space="preserve">May </v>
      </c>
      <c r="BJ93" s="51" t="str">
        <f t="shared" si="249"/>
        <v>June</v>
      </c>
      <c r="BK93" s="51" t="str">
        <f t="shared" si="249"/>
        <v>July</v>
      </c>
      <c r="BL93" s="51" t="str">
        <f t="shared" si="249"/>
        <v xml:space="preserve">August </v>
      </c>
      <c r="BM93" s="51" t="str">
        <f t="shared" si="249"/>
        <v>September</v>
      </c>
      <c r="BN93" s="51" t="str">
        <f t="shared" si="249"/>
        <v>October</v>
      </c>
      <c r="BO93" s="51" t="str">
        <f t="shared" si="249"/>
        <v>November</v>
      </c>
      <c r="BP93" s="51" t="str">
        <f t="shared" si="249"/>
        <v>December</v>
      </c>
      <c r="BS93" s="1005" t="str">
        <f>+A102</f>
        <v>Income allocation to Medium-Term</v>
      </c>
      <c r="BT93" s="1006"/>
      <c r="BU93" s="1006"/>
      <c r="BV93" s="1006"/>
      <c r="BW93" s="1006"/>
      <c r="BX93" s="1006"/>
      <c r="BY93" s="1006"/>
      <c r="BZ93" s="1006"/>
      <c r="CA93" s="1006"/>
      <c r="CB93" s="1006"/>
      <c r="CC93" s="1006"/>
      <c r="CD93" s="1006"/>
    </row>
    <row r="94" spans="1:82">
      <c r="A94" s="2" t="s">
        <v>591</v>
      </c>
      <c r="B94" s="11"/>
      <c r="D94" s="59"/>
      <c r="E94" s="59">
        <f t="shared" ref="E94" si="250">IF(E92&gt;E93,0,-(E92-E93))</f>
        <v>0</v>
      </c>
      <c r="F94" s="59">
        <f t="shared" ref="F94" si="251">IF(F92&gt;F93,0,-(F92-F93))</f>
        <v>0</v>
      </c>
      <c r="G94" s="59">
        <f t="shared" ref="G94" si="252">IF(G92&gt;G93,0,-(G92-G93))</f>
        <v>0</v>
      </c>
      <c r="H94" s="59">
        <f t="shared" ref="H94" si="253">IF(H92&gt;H93,0,-(H92-H93))</f>
        <v>0</v>
      </c>
      <c r="I94" s="59">
        <f t="shared" ref="I94" si="254">IF(I92&gt;I93,0,-(I92-I93))</f>
        <v>0</v>
      </c>
      <c r="J94" s="59">
        <f t="shared" ref="J94" si="255">IF(J92&gt;J93,0,-(J92-J93))</f>
        <v>0</v>
      </c>
      <c r="K94" s="59">
        <f t="shared" ref="K94" si="256">IF(K92&gt;K93,0,-(K92-K93))</f>
        <v>0</v>
      </c>
      <c r="L94" s="59">
        <f t="shared" ref="L94" si="257">IF(L92&gt;L93,0,-(L92-L93))</f>
        <v>0</v>
      </c>
      <c r="M94" s="59">
        <f t="shared" ref="M94" si="258">IF(M92&gt;M93,0,-(M92-M93))</f>
        <v>0</v>
      </c>
      <c r="N94" s="59">
        <f t="shared" ref="N94" si="259">IF(N92&gt;N93,0,-(N92-N93))</f>
        <v>0</v>
      </c>
      <c r="O94" s="59">
        <f t="shared" ref="O94" si="260">IF(O92&gt;O93,0,-(O92-O93))</f>
        <v>26245.125837159325</v>
      </c>
      <c r="P94" s="59">
        <f t="shared" ref="P94" si="261">IF(P92&gt;P93,0,-(P92-P93))</f>
        <v>0</v>
      </c>
      <c r="Q94" s="59">
        <f>SUM(E94:P94)</f>
        <v>26245.125837159325</v>
      </c>
      <c r="S94" s="59">
        <f t="shared" ref="S94:T94" ca="1" si="262">IF(S92&gt;S93,0,-(S92-S93))</f>
        <v>0</v>
      </c>
      <c r="T94" s="59">
        <f t="shared" ca="1" si="262"/>
        <v>0</v>
      </c>
      <c r="U94" s="59">
        <f t="shared" ref="U94:AB94" ca="1" si="263">IF(U92&gt;U93,0,-(U92-U93))</f>
        <v>0</v>
      </c>
      <c r="V94" s="59">
        <f t="shared" ca="1" si="263"/>
        <v>0</v>
      </c>
      <c r="W94" s="59">
        <f t="shared" ca="1" si="263"/>
        <v>0</v>
      </c>
      <c r="X94" s="59">
        <f t="shared" ca="1" si="263"/>
        <v>0</v>
      </c>
      <c r="Y94" s="59">
        <f t="shared" ca="1" si="263"/>
        <v>0</v>
      </c>
      <c r="Z94" s="59">
        <f t="shared" ca="1" si="263"/>
        <v>0</v>
      </c>
      <c r="AA94" s="59">
        <f t="shared" ca="1" si="263"/>
        <v>0</v>
      </c>
      <c r="AB94" s="59">
        <f t="shared" ca="1" si="263"/>
        <v>0</v>
      </c>
      <c r="AC94" s="59">
        <f t="shared" ref="AC94:AL94" ca="1" si="264">IF(AC92&gt;AC93,0,-(AC92-AC93))</f>
        <v>0</v>
      </c>
      <c r="AD94" s="59">
        <f t="shared" ca="1" si="264"/>
        <v>0</v>
      </c>
      <c r="AE94" s="59">
        <f t="shared" ca="1" si="264"/>
        <v>0</v>
      </c>
      <c r="AF94" s="59">
        <f t="shared" ca="1" si="264"/>
        <v>0</v>
      </c>
      <c r="AG94" s="59">
        <f t="shared" ca="1" si="264"/>
        <v>0</v>
      </c>
      <c r="AH94" s="59">
        <f t="shared" ca="1" si="264"/>
        <v>0</v>
      </c>
      <c r="AI94" s="59">
        <f t="shared" ca="1" si="264"/>
        <v>0</v>
      </c>
      <c r="AJ94" s="59">
        <f t="shared" ca="1" si="264"/>
        <v>0</v>
      </c>
      <c r="AK94" s="59">
        <f t="shared" ca="1" si="264"/>
        <v>0</v>
      </c>
      <c r="AL94" s="59">
        <f t="shared" ca="1" si="264"/>
        <v>0</v>
      </c>
      <c r="BD94" s="44" t="s">
        <v>476</v>
      </c>
      <c r="BE94" s="161">
        <f t="shared" ref="BE94:BP94" ca="1" si="265">E116</f>
        <v>2524138.75</v>
      </c>
      <c r="BF94" s="161">
        <f t="shared" ca="1" si="265"/>
        <v>2538862.8927083332</v>
      </c>
      <c r="BG94" s="161">
        <f t="shared" ca="1" si="265"/>
        <v>2553672.926249132</v>
      </c>
      <c r="BH94" s="161">
        <f t="shared" ca="1" si="265"/>
        <v>2568569.351652252</v>
      </c>
      <c r="BI94" s="161">
        <f t="shared" ca="1" si="265"/>
        <v>2583552.6728702234</v>
      </c>
      <c r="BJ94" s="161">
        <f t="shared" ca="1" si="265"/>
        <v>2598623.3967952998</v>
      </c>
      <c r="BK94" s="161">
        <f t="shared" ca="1" si="265"/>
        <v>2613782.0332766059</v>
      </c>
      <c r="BL94" s="161">
        <f t="shared" ca="1" si="265"/>
        <v>2629029.0951373861</v>
      </c>
      <c r="BM94" s="161">
        <f t="shared" ca="1" si="265"/>
        <v>2644365.0981923542</v>
      </c>
      <c r="BN94" s="161">
        <f t="shared" ca="1" si="265"/>
        <v>2659790.5612651431</v>
      </c>
      <c r="BO94" s="161">
        <f t="shared" ca="1" si="265"/>
        <v>2675306.0062058563</v>
      </c>
      <c r="BP94" s="161">
        <f t="shared" ca="1" si="265"/>
        <v>2690911.957908724</v>
      </c>
      <c r="BS94" s="51" t="str">
        <f t="shared" ref="BS94:CD94" si="266">BE$75</f>
        <v>January</v>
      </c>
      <c r="BT94" s="51" t="str">
        <f t="shared" si="266"/>
        <v>February</v>
      </c>
      <c r="BU94" s="51" t="str">
        <f t="shared" si="266"/>
        <v>March</v>
      </c>
      <c r="BV94" s="51" t="str">
        <f t="shared" si="266"/>
        <v>April</v>
      </c>
      <c r="BW94" s="51" t="str">
        <f t="shared" si="266"/>
        <v xml:space="preserve">May </v>
      </c>
      <c r="BX94" s="51" t="str">
        <f t="shared" si="266"/>
        <v>June</v>
      </c>
      <c r="BY94" s="51" t="str">
        <f t="shared" si="266"/>
        <v>July</v>
      </c>
      <c r="BZ94" s="51" t="str">
        <f t="shared" si="266"/>
        <v xml:space="preserve">August </v>
      </c>
      <c r="CA94" s="51" t="str">
        <f t="shared" si="266"/>
        <v>September</v>
      </c>
      <c r="CB94" s="51" t="str">
        <f t="shared" si="266"/>
        <v>October</v>
      </c>
      <c r="CC94" s="51" t="str">
        <f t="shared" si="266"/>
        <v>November</v>
      </c>
      <c r="CD94" s="51" t="str">
        <f t="shared" si="266"/>
        <v>December</v>
      </c>
    </row>
    <row r="95" spans="1:82" ht="21.75" customHeight="1">
      <c r="A95" s="570" t="s">
        <v>450</v>
      </c>
      <c r="B95" s="571"/>
      <c r="C95" s="570"/>
      <c r="D95" s="575">
        <f>IF($C$71=1,OPTIMIZER!AR25,'Balance Sheet'!B13)</f>
        <v>129384.79396907208</v>
      </c>
      <c r="E95" s="572">
        <f>+E92+E94</f>
        <v>109758.90360824735</v>
      </c>
      <c r="F95" s="572">
        <f t="shared" ref="F95:P95" si="267">+F92+F94</f>
        <v>107911.60373188833</v>
      </c>
      <c r="G95" s="572">
        <f t="shared" si="267"/>
        <v>61039.620875927125</v>
      </c>
      <c r="H95" s="572">
        <f t="shared" si="267"/>
        <v>55110.965867517254</v>
      </c>
      <c r="I95" s="572">
        <f t="shared" si="267"/>
        <v>52120.762385698668</v>
      </c>
      <c r="J95" s="572">
        <f t="shared" si="267"/>
        <v>30620.008298857145</v>
      </c>
      <c r="K95" s="572">
        <f t="shared" si="267"/>
        <v>13590.752737607094</v>
      </c>
      <c r="L95" s="572">
        <f t="shared" si="267"/>
        <v>11516.621863796852</v>
      </c>
      <c r="M95" s="572">
        <f t="shared" si="267"/>
        <v>9420.1503644346867</v>
      </c>
      <c r="N95" s="572">
        <f t="shared" si="267"/>
        <v>3318.7644618135928</v>
      </c>
      <c r="O95" s="572">
        <f t="shared" si="267"/>
        <v>0</v>
      </c>
      <c r="P95" s="572">
        <f t="shared" si="267"/>
        <v>129388.67625717539</v>
      </c>
      <c r="Q95" s="572">
        <f>+Q92+Q94+SUM(E98:P98)</f>
        <v>129539.36467431458</v>
      </c>
      <c r="R95" s="60" t="b">
        <f>ROUND(Q95,3)=ROUND(P95+P98,3)</f>
        <v>1</v>
      </c>
      <c r="S95" s="572">
        <f t="shared" ref="S95:T95" ca="1" si="268">+S92+S94</f>
        <v>266543.103433315</v>
      </c>
      <c r="T95" s="572">
        <f t="shared" ca="1" si="268"/>
        <v>283475.99353943957</v>
      </c>
      <c r="U95" s="572">
        <f t="shared" ref="U95:AB95" ca="1" si="269">+U92+U94</f>
        <v>301484.59246583696</v>
      </c>
      <c r="V95" s="572">
        <f t="shared" ca="1" si="269"/>
        <v>320637.23759961349</v>
      </c>
      <c r="W95" s="572">
        <f t="shared" ca="1" si="269"/>
        <v>341006.60764997744</v>
      </c>
      <c r="X95" s="572">
        <f t="shared" ca="1" si="269"/>
        <v>362669.99844276923</v>
      </c>
      <c r="Y95" s="572">
        <f t="shared" ca="1" si="269"/>
        <v>385709.61623560474</v>
      </c>
      <c r="Z95" s="572">
        <f t="shared" ca="1" si="269"/>
        <v>410212.88966667664</v>
      </c>
      <c r="AA95" s="572">
        <f t="shared" ca="1" si="269"/>
        <v>436272.80152096879</v>
      </c>
      <c r="AB95" s="572">
        <f t="shared" ca="1" si="269"/>
        <v>463988.24157283973</v>
      </c>
      <c r="AC95" s="572">
        <f t="shared" ref="AC95:AL95" ca="1" si="270">+AC92+AC94</f>
        <v>493464.38184391044</v>
      </c>
      <c r="AD95" s="572">
        <f t="shared" ca="1" si="270"/>
        <v>524813.07570024999</v>
      </c>
      <c r="AE95" s="572">
        <f t="shared" ca="1" si="270"/>
        <v>558153.2823033178</v>
      </c>
      <c r="AF95" s="572">
        <f t="shared" ca="1" si="270"/>
        <v>593611.51802532875</v>
      </c>
      <c r="AG95" s="572">
        <f t="shared" ca="1" si="270"/>
        <v>631322.33654203243</v>
      </c>
      <c r="AH95" s="572">
        <f t="shared" ca="1" si="270"/>
        <v>671428.83942471747</v>
      </c>
      <c r="AI95" s="572">
        <f t="shared" ca="1" si="270"/>
        <v>714083.21916899004</v>
      </c>
      <c r="AJ95" s="572">
        <f t="shared" ca="1" si="270"/>
        <v>759447.3367209615</v>
      </c>
      <c r="AK95" s="572">
        <f t="shared" ca="1" si="270"/>
        <v>807693.33569238987</v>
      </c>
      <c r="AL95" s="572">
        <f t="shared" ca="1" si="270"/>
        <v>859004.2955955416</v>
      </c>
      <c r="AM95" s="60"/>
      <c r="AN95" s="60"/>
      <c r="AO95" s="60"/>
      <c r="AP95" s="60"/>
      <c r="AQ95" s="60"/>
      <c r="AR95" s="60"/>
      <c r="AS95" s="60"/>
      <c r="AT95" s="60"/>
      <c r="AU95" s="60"/>
      <c r="AV95" s="60"/>
      <c r="AW95" s="60"/>
      <c r="BD95">
        <v>0</v>
      </c>
      <c r="BE95" s="756">
        <f t="dataTable" ref="BE95:BP96" dt2D="0" dtr="0" r1="C71" ca="1"/>
        <v>2524138.75</v>
      </c>
      <c r="BF95" s="756">
        <v>2538862.8927083332</v>
      </c>
      <c r="BG95" s="756">
        <v>2553672.926249132</v>
      </c>
      <c r="BH95" s="756">
        <v>2568569.351652252</v>
      </c>
      <c r="BI95" s="756">
        <v>2583552.6728702234</v>
      </c>
      <c r="BJ95" s="756">
        <v>2598623.3967952998</v>
      </c>
      <c r="BK95" s="756">
        <v>2613782.0332766059</v>
      </c>
      <c r="BL95" s="756">
        <v>2629029.0951373861</v>
      </c>
      <c r="BM95" s="756">
        <v>2644365.0981923542</v>
      </c>
      <c r="BN95" s="756">
        <v>2659790.5612651431</v>
      </c>
      <c r="BO95" s="756">
        <v>2675306.0062058563</v>
      </c>
      <c r="BP95" s="756">
        <v>2690911.957908724</v>
      </c>
      <c r="BR95" s="44" t="s">
        <v>476</v>
      </c>
      <c r="BS95" s="161">
        <f t="shared" ref="BS95:CD95" si="271">+E102</f>
        <v>0</v>
      </c>
      <c r="BT95" s="161">
        <f t="shared" si="271"/>
        <v>0</v>
      </c>
      <c r="BU95" s="161">
        <f t="shared" si="271"/>
        <v>0</v>
      </c>
      <c r="BV95" s="161">
        <f t="shared" si="271"/>
        <v>0</v>
      </c>
      <c r="BW95" s="161">
        <f t="shared" si="271"/>
        <v>0</v>
      </c>
      <c r="BX95" s="161">
        <f t="shared" si="271"/>
        <v>0</v>
      </c>
      <c r="BY95" s="161">
        <f t="shared" si="271"/>
        <v>0</v>
      </c>
      <c r="BZ95" s="161">
        <f t="shared" si="271"/>
        <v>0</v>
      </c>
      <c r="CA95" s="161">
        <f t="shared" si="271"/>
        <v>0</v>
      </c>
      <c r="CB95" s="161">
        <f t="shared" si="271"/>
        <v>0</v>
      </c>
      <c r="CC95" s="161">
        <f t="shared" si="271"/>
        <v>0</v>
      </c>
      <c r="CD95" s="161">
        <f t="shared" si="271"/>
        <v>67629.960000000079</v>
      </c>
    </row>
    <row r="96" spans="1:82" ht="21.75" customHeight="1">
      <c r="A96" s="551" t="s">
        <v>445</v>
      </c>
      <c r="B96" s="552"/>
      <c r="C96" s="551"/>
      <c r="D96" s="560">
        <f>IF($C$71=1,OPTIMIZER!$AW$25,'Balance Sheet'!$E$13)</f>
        <v>4.2999999999999997E-2</v>
      </c>
      <c r="E96" s="553">
        <f>+D96</f>
        <v>4.2999999999999997E-2</v>
      </c>
      <c r="F96" s="553">
        <f t="shared" ref="F96:T96" si="272">+E96</f>
        <v>4.2999999999999997E-2</v>
      </c>
      <c r="G96" s="553">
        <f t="shared" si="272"/>
        <v>4.2999999999999997E-2</v>
      </c>
      <c r="H96" s="553">
        <f t="shared" si="272"/>
        <v>4.2999999999999997E-2</v>
      </c>
      <c r="I96" s="553">
        <f t="shared" si="272"/>
        <v>4.2999999999999997E-2</v>
      </c>
      <c r="J96" s="553">
        <f t="shared" si="272"/>
        <v>4.2999999999999997E-2</v>
      </c>
      <c r="K96" s="553">
        <f t="shared" si="272"/>
        <v>4.2999999999999997E-2</v>
      </c>
      <c r="L96" s="553">
        <f t="shared" si="272"/>
        <v>4.2999999999999997E-2</v>
      </c>
      <c r="M96" s="553">
        <f t="shared" si="272"/>
        <v>4.2999999999999997E-2</v>
      </c>
      <c r="N96" s="553">
        <f t="shared" si="272"/>
        <v>4.2999999999999997E-2</v>
      </c>
      <c r="O96" s="553">
        <f t="shared" si="272"/>
        <v>4.2999999999999997E-2</v>
      </c>
      <c r="P96" s="553">
        <f t="shared" si="272"/>
        <v>4.2999999999999997E-2</v>
      </c>
      <c r="Q96" s="1009">
        <f>+Q97/AVERAGE(Q88,Q95)</f>
        <v>1.6175396446121881E-2</v>
      </c>
      <c r="R96" s="59"/>
      <c r="S96" s="553">
        <f>+Q96</f>
        <v>1.6175396446121881E-2</v>
      </c>
      <c r="T96" s="553">
        <f t="shared" si="272"/>
        <v>1.6175396446121881E-2</v>
      </c>
      <c r="U96" s="553">
        <f t="shared" ref="U96" si="273">+T96</f>
        <v>1.6175396446121881E-2</v>
      </c>
      <c r="V96" s="553">
        <f t="shared" ref="V96" si="274">+U96</f>
        <v>1.6175396446121881E-2</v>
      </c>
      <c r="W96" s="553">
        <f t="shared" ref="W96" si="275">+V96</f>
        <v>1.6175396446121881E-2</v>
      </c>
      <c r="X96" s="553">
        <f t="shared" ref="X96" si="276">+W96</f>
        <v>1.6175396446121881E-2</v>
      </c>
      <c r="Y96" s="553">
        <f t="shared" ref="Y96" si="277">+X96</f>
        <v>1.6175396446121881E-2</v>
      </c>
      <c r="Z96" s="553">
        <f t="shared" ref="Z96" si="278">+Y96</f>
        <v>1.6175396446121881E-2</v>
      </c>
      <c r="AA96" s="553">
        <f t="shared" ref="AA96" si="279">+Z96</f>
        <v>1.6175396446121881E-2</v>
      </c>
      <c r="AB96" s="553">
        <f t="shared" ref="AB96" si="280">+AA96</f>
        <v>1.6175396446121881E-2</v>
      </c>
      <c r="AC96" s="553">
        <f t="shared" ref="AC96" si="281">+AB96</f>
        <v>1.6175396446121881E-2</v>
      </c>
      <c r="AD96" s="553">
        <f t="shared" ref="AD96" si="282">+AC96</f>
        <v>1.6175396446121881E-2</v>
      </c>
      <c r="AE96" s="553">
        <f t="shared" ref="AE96" si="283">+AD96</f>
        <v>1.6175396446121881E-2</v>
      </c>
      <c r="AF96" s="553">
        <f t="shared" ref="AF96" si="284">+AE96</f>
        <v>1.6175396446121881E-2</v>
      </c>
      <c r="AG96" s="553">
        <f t="shared" ref="AG96" si="285">+AF96</f>
        <v>1.6175396446121881E-2</v>
      </c>
      <c r="AH96" s="553">
        <f t="shared" ref="AH96" si="286">+AG96</f>
        <v>1.6175396446121881E-2</v>
      </c>
      <c r="AI96" s="553">
        <f t="shared" ref="AI96" si="287">+AH96</f>
        <v>1.6175396446121881E-2</v>
      </c>
      <c r="AJ96" s="553">
        <f t="shared" ref="AJ96" si="288">+AI96</f>
        <v>1.6175396446121881E-2</v>
      </c>
      <c r="AK96" s="553">
        <f t="shared" ref="AK96" si="289">+AJ96</f>
        <v>1.6175396446121881E-2</v>
      </c>
      <c r="AL96" s="553">
        <f t="shared" ref="AL96" si="290">+AK96</f>
        <v>1.6175396446121881E-2</v>
      </c>
      <c r="AM96" s="59"/>
      <c r="AN96" s="59"/>
      <c r="AO96" s="59"/>
      <c r="AP96" s="59"/>
      <c r="AQ96" s="59"/>
      <c r="AR96" s="59"/>
      <c r="AS96" s="59"/>
      <c r="AT96" s="59"/>
      <c r="AU96" s="59"/>
      <c r="AV96" s="59"/>
      <c r="AW96" s="59"/>
      <c r="BD96">
        <v>1</v>
      </c>
      <c r="BE96" s="756">
        <v>2524138.75</v>
      </c>
      <c r="BF96" s="756">
        <v>2538862.8927083332</v>
      </c>
      <c r="BG96" s="756">
        <v>2553672.926249132</v>
      </c>
      <c r="BH96" s="756">
        <v>2568569.351652252</v>
      </c>
      <c r="BI96" s="756">
        <v>2583552.6728702234</v>
      </c>
      <c r="BJ96" s="756">
        <v>2598623.3967952998</v>
      </c>
      <c r="BK96" s="756">
        <v>2613782.0332766059</v>
      </c>
      <c r="BL96" s="756">
        <v>2629029.0951373861</v>
      </c>
      <c r="BM96" s="756">
        <v>2644365.0981923542</v>
      </c>
      <c r="BN96" s="756">
        <v>2659790.5612651431</v>
      </c>
      <c r="BO96" s="756">
        <v>2675306.0062058563</v>
      </c>
      <c r="BP96" s="756">
        <v>2690911.957908724</v>
      </c>
      <c r="BR96">
        <v>0</v>
      </c>
      <c r="BS96" s="756">
        <f t="dataTable" ref="BS96:CD97" dt2D="0" dtr="0" r1="C71" ca="1"/>
        <v>0</v>
      </c>
      <c r="BT96" s="756">
        <v>0</v>
      </c>
      <c r="BU96" s="756">
        <v>0</v>
      </c>
      <c r="BV96" s="756">
        <v>0</v>
      </c>
      <c r="BW96" s="756">
        <v>0</v>
      </c>
      <c r="BX96" s="756">
        <v>0</v>
      </c>
      <c r="BY96" s="756">
        <v>0</v>
      </c>
      <c r="BZ96" s="756">
        <v>0</v>
      </c>
      <c r="CA96" s="756">
        <v>0</v>
      </c>
      <c r="CB96" s="756">
        <v>0</v>
      </c>
      <c r="CC96" s="756">
        <v>0</v>
      </c>
      <c r="CD96" s="756">
        <v>0</v>
      </c>
    </row>
    <row r="97" spans="1:82">
      <c r="A97" s="564" t="s">
        <v>451</v>
      </c>
      <c r="B97" s="565"/>
      <c r="C97" s="511"/>
      <c r="D97" s="566"/>
      <c r="E97" s="566">
        <f>AVERAGE(E88,E95)*E96/12</f>
        <v>428.46579149269729</v>
      </c>
      <c r="F97" s="566">
        <f>AVERAGE(F88,F95)*F96/12</f>
        <v>390.49197643741894</v>
      </c>
      <c r="G97" s="566">
        <f t="shared" ref="G97:P97" si="291">AVERAGE(G88,G95)*G96/12</f>
        <v>303.15903786989543</v>
      </c>
      <c r="H97" s="566">
        <f t="shared" si="291"/>
        <v>208.45618854485716</v>
      </c>
      <c r="I97" s="566">
        <f t="shared" si="291"/>
        <v>192.36627772325471</v>
      </c>
      <c r="J97" s="566">
        <f t="shared" si="291"/>
        <v>148.46790737076103</v>
      </c>
      <c r="K97" s="566">
        <f t="shared" si="291"/>
        <v>79.383850107457292</v>
      </c>
      <c r="L97" s="566">
        <f t="shared" si="291"/>
        <v>45.076495269619706</v>
      </c>
      <c r="M97" s="566">
        <f t="shared" si="291"/>
        <v>37.564212244030912</v>
      </c>
      <c r="N97" s="566">
        <f t="shared" si="291"/>
        <v>22.867635719204028</v>
      </c>
      <c r="O97" s="566">
        <f t="shared" si="291"/>
        <v>5.9727509281806768</v>
      </c>
      <c r="P97" s="566">
        <f t="shared" si="291"/>
        <v>231.82833406029101</v>
      </c>
      <c r="Q97" s="566">
        <f>+SUM(E97:P97)</f>
        <v>2094.1004577676676</v>
      </c>
      <c r="S97" s="566">
        <f ca="1">AVERAGE(S88,S95)*S96</f>
        <v>6479.3080583267829</v>
      </c>
      <c r="T97" s="566">
        <f t="shared" ref="T97:AB97" ca="1" si="292">AVERAGE(T88,T95)*T96</f>
        <v>6890.924078033042</v>
      </c>
      <c r="U97" s="566">
        <f t="shared" ca="1" si="292"/>
        <v>7328.6891473220094</v>
      </c>
      <c r="V97" s="566">
        <f t="shared" ca="1" si="292"/>
        <v>7794.2644571127512</v>
      </c>
      <c r="W97" s="566">
        <f t="shared" ca="1" si="292"/>
        <v>8289.4167300860518</v>
      </c>
      <c r="X97" s="566">
        <f t="shared" ca="1" si="292"/>
        <v>8816.0249248823402</v>
      </c>
      <c r="Y97" s="566">
        <f t="shared" ca="1" si="292"/>
        <v>9376.0873662024023</v>
      </c>
      <c r="Z97" s="566">
        <f t="shared" ca="1" si="292"/>
        <v>9971.7293278675206</v>
      </c>
      <c r="AA97" s="566">
        <f t="shared" ca="1" si="292"/>
        <v>10605.211097614547</v>
      </c>
      <c r="AB97" s="566">
        <f t="shared" ca="1" si="292"/>
        <v>11278.936554229438</v>
      </c>
      <c r="AC97" s="566">
        <f t="shared" ref="AC97:AL97" ca="1" si="293">AVERAGE(AC88,AC95)*AC96</f>
        <v>11995.462289567025</v>
      </c>
      <c r="AD97" s="566">
        <f t="shared" ca="1" si="293"/>
        <v>12757.507310072377</v>
      </c>
      <c r="AE97" s="566">
        <f t="shared" ca="1" si="293"/>
        <v>13567.963354618216</v>
      </c>
      <c r="AF97" s="566">
        <f t="shared" ca="1" si="293"/>
        <v>14429.905867811602</v>
      </c>
      <c r="AG97" s="566">
        <f t="shared" ca="1" si="293"/>
        <v>15346.605670410348</v>
      </c>
      <c r="AH97" s="566">
        <f t="shared" ca="1" si="293"/>
        <v>16321.541371135019</v>
      </c>
      <c r="AI97" s="566">
        <f t="shared" ca="1" si="293"/>
        <v>17358.41256697573</v>
      </c>
      <c r="AJ97" s="566">
        <f t="shared" ca="1" si="293"/>
        <v>18461.153882085047</v>
      </c>
      <c r="AK97" s="566">
        <f t="shared" ca="1" si="293"/>
        <v>19633.949898530504</v>
      </c>
      <c r="AL97" s="566">
        <f t="shared" ca="1" si="293"/>
        <v>20881.251035564612</v>
      </c>
      <c r="BR97">
        <v>1</v>
      </c>
      <c r="BS97" s="756">
        <v>0</v>
      </c>
      <c r="BT97" s="756">
        <v>0</v>
      </c>
      <c r="BU97" s="756">
        <v>0</v>
      </c>
      <c r="BV97" s="756">
        <v>0</v>
      </c>
      <c r="BW97" s="756">
        <v>0</v>
      </c>
      <c r="BX97" s="756">
        <v>0</v>
      </c>
      <c r="BY97" s="756">
        <v>0</v>
      </c>
      <c r="BZ97" s="756">
        <v>0</v>
      </c>
      <c r="CA97" s="756">
        <v>0</v>
      </c>
      <c r="CB97" s="756">
        <v>0</v>
      </c>
      <c r="CC97" s="756">
        <v>0</v>
      </c>
      <c r="CD97" s="756">
        <v>67629.960000000079</v>
      </c>
    </row>
    <row r="98" spans="1:82">
      <c r="A98" s="564" t="s">
        <v>497</v>
      </c>
      <c r="B98" s="565"/>
      <c r="C98" s="511" t="s">
        <v>498</v>
      </c>
      <c r="D98" s="607">
        <f>IF(C71=1,1-OPTIMIZER!AY25/OPTIMIZER!AW25,BB9)</f>
        <v>0.35</v>
      </c>
      <c r="E98" s="566">
        <f>+E97*(1-$D$98)</f>
        <v>278.50276447025323</v>
      </c>
      <c r="F98" s="566">
        <f t="shared" ref="F98:P98" si="294">+F97*(1-$D$98)</f>
        <v>253.81978468432231</v>
      </c>
      <c r="G98" s="566">
        <f t="shared" si="294"/>
        <v>197.05337461543203</v>
      </c>
      <c r="H98" s="566">
        <f t="shared" si="294"/>
        <v>135.49652255415717</v>
      </c>
      <c r="I98" s="566">
        <f t="shared" si="294"/>
        <v>125.03808052011557</v>
      </c>
      <c r="J98" s="566">
        <f t="shared" si="294"/>
        <v>96.504139790994671</v>
      </c>
      <c r="K98" s="566">
        <f t="shared" si="294"/>
        <v>51.599502569847239</v>
      </c>
      <c r="L98" s="566">
        <f t="shared" si="294"/>
        <v>29.299721925252811</v>
      </c>
      <c r="M98" s="566">
        <f t="shared" si="294"/>
        <v>24.416737958620093</v>
      </c>
      <c r="N98" s="566">
        <f t="shared" si="294"/>
        <v>14.863963217482619</v>
      </c>
      <c r="O98" s="566">
        <f t="shared" si="294"/>
        <v>3.8822881033174399</v>
      </c>
      <c r="P98" s="566">
        <f t="shared" si="294"/>
        <v>150.68841713918917</v>
      </c>
      <c r="Q98" s="566">
        <f>SUM(E98:P98)</f>
        <v>1361.1652975489849</v>
      </c>
      <c r="S98" s="566">
        <f t="shared" ref="S98:T98" ca="1" si="295">+S97*(1-$D$98)</f>
        <v>3434.0332709131949</v>
      </c>
      <c r="T98" s="566">
        <f t="shared" ca="1" si="295"/>
        <v>3652.1897613575125</v>
      </c>
      <c r="U98" s="566">
        <f t="shared" ref="U98:AB98" ca="1" si="296">+U97*(1-$D$98)</f>
        <v>3884.2052480806651</v>
      </c>
      <c r="V98" s="566">
        <f t="shared" ca="1" si="296"/>
        <v>4130.9601622697583</v>
      </c>
      <c r="W98" s="566">
        <f t="shared" ca="1" si="296"/>
        <v>4393.3908669456077</v>
      </c>
      <c r="X98" s="566">
        <f t="shared" ca="1" si="296"/>
        <v>4672.4932101876402</v>
      </c>
      <c r="Y98" s="566">
        <f t="shared" ca="1" si="296"/>
        <v>4969.3263040872735</v>
      </c>
      <c r="Z98" s="566">
        <f t="shared" ca="1" si="296"/>
        <v>5285.016543769786</v>
      </c>
      <c r="AA98" s="566">
        <f t="shared" ca="1" si="296"/>
        <v>5620.7618817357097</v>
      </c>
      <c r="AB98" s="566">
        <f t="shared" ca="1" si="296"/>
        <v>5977.8363737416021</v>
      </c>
      <c r="AC98" s="566">
        <f t="shared" ref="AC98:AL98" ca="1" si="297">+AC97*(1-$D$98)</f>
        <v>6357.5950134705236</v>
      </c>
      <c r="AD98" s="566">
        <f t="shared" ca="1" si="297"/>
        <v>6761.4788743383597</v>
      </c>
      <c r="AE98" s="566">
        <f t="shared" ca="1" si="297"/>
        <v>7191.0205779476546</v>
      </c>
      <c r="AF98" s="566">
        <f t="shared" ca="1" si="297"/>
        <v>7647.8501099401492</v>
      </c>
      <c r="AG98" s="566">
        <f t="shared" ca="1" si="297"/>
        <v>8133.7010053174854</v>
      </c>
      <c r="AH98" s="566">
        <f t="shared" ca="1" si="297"/>
        <v>8650.4169267015604</v>
      </c>
      <c r="AI98" s="566">
        <f t="shared" ca="1" si="297"/>
        <v>9199.9586604971373</v>
      </c>
      <c r="AJ98" s="566">
        <f t="shared" ca="1" si="297"/>
        <v>9784.4115575050764</v>
      </c>
      <c r="AK98" s="566">
        <f t="shared" ca="1" si="297"/>
        <v>10405.993446221168</v>
      </c>
      <c r="AL98" s="566">
        <f t="shared" ca="1" si="297"/>
        <v>11067.063048849244</v>
      </c>
      <c r="BE98" s="1005" t="str">
        <f>A124</f>
        <v xml:space="preserve">Net Worth - Ending </v>
      </c>
      <c r="BF98" s="1006"/>
      <c r="BG98" s="1006"/>
      <c r="BH98" s="1006"/>
      <c r="BI98" s="1006"/>
      <c r="BJ98" s="1006"/>
      <c r="BK98" s="1006"/>
      <c r="BL98" s="1006"/>
      <c r="BM98" s="1006"/>
      <c r="BN98" s="1006"/>
      <c r="BO98" s="1006"/>
      <c r="BP98" s="1006"/>
    </row>
    <row r="99" spans="1:82" ht="24.75" customHeight="1">
      <c r="B99" s="11"/>
      <c r="D99" s="59"/>
      <c r="E99" s="59"/>
      <c r="F99" s="37"/>
      <c r="G99" s="11"/>
      <c r="H99" s="11"/>
      <c r="I99" s="11"/>
      <c r="J99" s="11"/>
      <c r="K99" s="11"/>
      <c r="L99" s="59"/>
      <c r="M99" s="59"/>
      <c r="N99" s="59"/>
      <c r="O99" s="59"/>
      <c r="P99" s="59"/>
      <c r="Q99" s="59"/>
      <c r="BE99" s="51" t="str">
        <f>+BE81</f>
        <v>January</v>
      </c>
      <c r="BF99" s="51" t="str">
        <f t="shared" ref="BF99:BP99" si="298">+BF81</f>
        <v>February</v>
      </c>
      <c r="BG99" s="51" t="str">
        <f t="shared" si="298"/>
        <v>March</v>
      </c>
      <c r="BH99" s="51" t="str">
        <f t="shared" si="298"/>
        <v>April</v>
      </c>
      <c r="BI99" s="51" t="str">
        <f t="shared" si="298"/>
        <v xml:space="preserve">May </v>
      </c>
      <c r="BJ99" s="51" t="str">
        <f t="shared" si="298"/>
        <v>June</v>
      </c>
      <c r="BK99" s="51" t="str">
        <f t="shared" si="298"/>
        <v>July</v>
      </c>
      <c r="BL99" s="51" t="str">
        <f t="shared" si="298"/>
        <v xml:space="preserve">August </v>
      </c>
      <c r="BM99" s="51" t="str">
        <f t="shared" si="298"/>
        <v>September</v>
      </c>
      <c r="BN99" s="51" t="str">
        <f t="shared" si="298"/>
        <v>October</v>
      </c>
      <c r="BO99" s="51" t="str">
        <f t="shared" si="298"/>
        <v>November</v>
      </c>
      <c r="BP99" s="51" t="str">
        <f t="shared" si="298"/>
        <v>December</v>
      </c>
      <c r="BS99" s="1005" t="s">
        <v>644</v>
      </c>
      <c r="BT99" s="1007"/>
      <c r="BU99" s="1007"/>
      <c r="BV99" s="1007"/>
      <c r="BW99" s="1007"/>
      <c r="BX99" s="1007"/>
      <c r="BY99" s="1007"/>
      <c r="BZ99" s="1007"/>
      <c r="CA99" s="1007"/>
      <c r="CB99" s="1007"/>
      <c r="CC99" s="1007"/>
      <c r="CD99" s="1007"/>
    </row>
    <row r="100" spans="1:82">
      <c r="A100" s="570" t="s">
        <v>470</v>
      </c>
      <c r="B100" s="571"/>
      <c r="C100" s="570"/>
      <c r="D100" s="572"/>
      <c r="E100" s="572">
        <f ca="1">D104</f>
        <v>135000</v>
      </c>
      <c r="F100" s="572">
        <f ca="1">+E104+E108</f>
        <v>135288.84375</v>
      </c>
      <c r="G100" s="572">
        <f t="shared" ref="G100:P100" ca="1" si="299">+F104+F108</f>
        <v>135578.30555532692</v>
      </c>
      <c r="H100" s="572">
        <f t="shared" ca="1" si="299"/>
        <v>135868.38668297554</v>
      </c>
      <c r="I100" s="572">
        <f t="shared" ca="1" si="299"/>
        <v>136159.08843569199</v>
      </c>
      <c r="J100" s="572">
        <f t="shared" ca="1" si="299"/>
        <v>136450.4121162607</v>
      </c>
      <c r="K100" s="572">
        <f t="shared" ca="1" si="299"/>
        <v>136742.359127573</v>
      </c>
      <c r="L100" s="572">
        <f t="shared" ca="1" si="299"/>
        <v>137034.93077252054</v>
      </c>
      <c r="M100" s="572">
        <f t="shared" ca="1" si="299"/>
        <v>137328.12845399478</v>
      </c>
      <c r="N100" s="572">
        <f t="shared" ca="1" si="299"/>
        <v>137621.95347488724</v>
      </c>
      <c r="O100" s="572">
        <f t="shared" ca="1" si="299"/>
        <v>137916.40713798252</v>
      </c>
      <c r="P100" s="572">
        <f t="shared" ca="1" si="299"/>
        <v>138211.49074606501</v>
      </c>
      <c r="Q100" s="572">
        <f ca="1">D104</f>
        <v>135000</v>
      </c>
      <c r="S100" s="572">
        <f ca="1">+P104+P108</f>
        <v>138507.20570202614</v>
      </c>
      <c r="T100" s="572">
        <f ca="1">+S104+S108</f>
        <v>167017.53686254018</v>
      </c>
      <c r="U100" s="572">
        <f t="shared" ref="U100:AB100" ca="1" si="300">+T104+T108</f>
        <v>197333.05294105629</v>
      </c>
      <c r="V100" s="572">
        <f t="shared" ca="1" si="300"/>
        <v>229542.70250423354</v>
      </c>
      <c r="W100" s="572">
        <f t="shared" ca="1" si="300"/>
        <v>263739.1460561289</v>
      </c>
      <c r="X100" s="572">
        <f t="shared" ca="1" si="300"/>
        <v>300018.87834094261</v>
      </c>
      <c r="Y100" s="572">
        <f t="shared" ca="1" si="300"/>
        <v>338482.35205778031</v>
      </c>
      <c r="Z100" s="572">
        <f t="shared" ca="1" si="300"/>
        <v>368842.75471938652</v>
      </c>
      <c r="AA100" s="572">
        <f t="shared" ca="1" si="300"/>
        <v>378302.15736491402</v>
      </c>
      <c r="AB100" s="572">
        <f t="shared" ca="1" si="300"/>
        <v>388004.15747996065</v>
      </c>
      <c r="AC100" s="572">
        <f t="shared" ref="AC100" ca="1" si="301">+AB104+AB108</f>
        <v>397954.97668918868</v>
      </c>
      <c r="AD100" s="572">
        <f t="shared" ref="AD100" ca="1" si="302">+AC104+AC108</f>
        <v>408160.9962543858</v>
      </c>
      <c r="AE100" s="572">
        <f t="shared" ref="AE100" ca="1" si="303">+AD104+AD108</f>
        <v>418628.76113094349</v>
      </c>
      <c r="AF100" s="572">
        <f t="shared" ref="AF100" ca="1" si="304">+AE104+AE108</f>
        <v>429364.98396988434</v>
      </c>
      <c r="AG100" s="572">
        <f t="shared" ref="AG100" ca="1" si="305">+AF104+AF108</f>
        <v>440376.5498281662</v>
      </c>
      <c r="AH100" s="572">
        <f t="shared" ref="AH100" ca="1" si="306">+AG104+AG108</f>
        <v>451670.52007781039</v>
      </c>
      <c r="AI100" s="572">
        <f t="shared" ref="AI100" ca="1" si="307">+AH104+AH108</f>
        <v>463254.13741886237</v>
      </c>
      <c r="AJ100" s="572">
        <f t="shared" ref="AJ100" ca="1" si="308">+AI104+AI108</f>
        <v>475134.83009624743</v>
      </c>
      <c r="AK100" s="572">
        <f t="shared" ref="AK100" ca="1" si="309">+AJ104+AJ108</f>
        <v>487320.21701795963</v>
      </c>
      <c r="AL100" s="572">
        <f t="shared" ref="AL100" ca="1" si="310">+AK104+AK108</f>
        <v>499818.11237839633</v>
      </c>
      <c r="AX100" t="s">
        <v>473</v>
      </c>
      <c r="BD100" s="44" t="s">
        <v>476</v>
      </c>
      <c r="BE100" s="161">
        <f t="shared" ref="BE100" ca="1" si="311">E124</f>
        <v>4643396.829639175</v>
      </c>
      <c r="BF100" s="161">
        <f t="shared" ref="BF100" ca="1" si="312">F124</f>
        <v>4656656.3857246442</v>
      </c>
      <c r="BG100" s="161">
        <f t="shared" ref="BG100" ca="1" si="313">G124</f>
        <v>4669985.4800997274</v>
      </c>
      <c r="BH100" s="161">
        <f t="shared" ref="BH100" ca="1" si="314">H124</f>
        <v>4638398.725250084</v>
      </c>
      <c r="BI100" s="161">
        <f t="shared" ref="BI100" ca="1" si="315">I124</f>
        <v>4647860.2691896101</v>
      </c>
      <c r="BJ100" s="161">
        <f t="shared" ref="BJ100" ca="1" si="316">J124</f>
        <v>4660367.3255039947</v>
      </c>
      <c r="BK100" s="161">
        <f t="shared" ref="BK100" ca="1" si="317">K124</f>
        <v>4654455.8814376313</v>
      </c>
      <c r="BL100" s="161">
        <f t="shared" ref="BL100" ca="1" si="318">L124</f>
        <v>4653113.9183884831</v>
      </c>
      <c r="BM100" s="161">
        <f t="shared" ref="BM100" ca="1" si="319">M124</f>
        <v>4666830.6121509578</v>
      </c>
      <c r="BN100" s="161">
        <f t="shared" ref="BN100" ca="1" si="320">N124</f>
        <v>4680622.1857084315</v>
      </c>
      <c r="BO100" s="161">
        <f t="shared" ref="BO100" ca="1" si="321">O124</f>
        <v>4690501.255179706</v>
      </c>
      <c r="BP100" s="161">
        <f t="shared" ref="BP100" ca="1" si="322">P124</f>
        <v>4893652.7948130555</v>
      </c>
      <c r="BS100" s="51" t="str">
        <f t="shared" ref="BS100:CD100" si="323">BE$75</f>
        <v>January</v>
      </c>
      <c r="BT100" s="51" t="str">
        <f t="shared" si="323"/>
        <v>February</v>
      </c>
      <c r="BU100" s="51" t="str">
        <f t="shared" si="323"/>
        <v>March</v>
      </c>
      <c r="BV100" s="51" t="str">
        <f t="shared" si="323"/>
        <v>April</v>
      </c>
      <c r="BW100" s="51" t="str">
        <f t="shared" si="323"/>
        <v xml:space="preserve">May </v>
      </c>
      <c r="BX100" s="51" t="str">
        <f t="shared" si="323"/>
        <v>June</v>
      </c>
      <c r="BY100" s="51" t="str">
        <f t="shared" si="323"/>
        <v>July</v>
      </c>
      <c r="BZ100" s="51" t="str">
        <f t="shared" si="323"/>
        <v xml:space="preserve">August </v>
      </c>
      <c r="CA100" s="51" t="str">
        <f t="shared" si="323"/>
        <v>September</v>
      </c>
      <c r="CB100" s="51" t="str">
        <f t="shared" si="323"/>
        <v>October</v>
      </c>
      <c r="CC100" s="51" t="str">
        <f t="shared" si="323"/>
        <v>November</v>
      </c>
      <c r="CD100" s="51" t="str">
        <f t="shared" si="323"/>
        <v>December</v>
      </c>
    </row>
    <row r="101" spans="1:82">
      <c r="A101" s="3" t="s">
        <v>447</v>
      </c>
      <c r="B101" s="11"/>
      <c r="C101" s="1"/>
      <c r="D101" s="59"/>
      <c r="E101" s="170">
        <f>IF($C$71=1,OPTIMIZER!$X$26,0)</f>
        <v>0</v>
      </c>
      <c r="F101" s="170">
        <f>IF($C$71=1,OPTIMIZER!$X$26,0)</f>
        <v>0</v>
      </c>
      <c r="G101" s="170">
        <f>IF($C$71=1,OPTIMIZER!$X$26,0)</f>
        <v>0</v>
      </c>
      <c r="H101" s="170">
        <f>IF($C$71=1,OPTIMIZER!$X$26,0)</f>
        <v>0</v>
      </c>
      <c r="I101" s="170">
        <f>IF($C$71=1,OPTIMIZER!$X$26,0)</f>
        <v>0</v>
      </c>
      <c r="J101" s="170">
        <f>IF($C$71=1,OPTIMIZER!$X$26,0)</f>
        <v>0</v>
      </c>
      <c r="K101" s="170">
        <f>IF($C$71=1,OPTIMIZER!$X$26,0)</f>
        <v>0</v>
      </c>
      <c r="L101" s="170">
        <f>IF($C$71=1,OPTIMIZER!$X$26,0)</f>
        <v>0</v>
      </c>
      <c r="M101" s="170">
        <f>IF($C$71=1,OPTIMIZER!$X$26,0)</f>
        <v>0</v>
      </c>
      <c r="N101" s="170">
        <f>IF($C$71=1,OPTIMIZER!$X$26,0)</f>
        <v>0</v>
      </c>
      <c r="O101" s="170">
        <f>IF($C$71=1,OPTIMIZER!$X$26,0)</f>
        <v>0</v>
      </c>
      <c r="P101" s="484">
        <f>IF($C$71=1,OPTIMIZER!R26,0)</f>
        <v>0.28723194352410819</v>
      </c>
      <c r="Q101" s="170">
        <f>IF($C$71=1,OPTIMIZER!$X$26,0)</f>
        <v>0</v>
      </c>
      <c r="S101" s="170">
        <f t="shared" ref="S101:AL101" ca="1" si="324">+S102/S10</f>
        <v>5.3048300746863446E-2</v>
      </c>
      <c r="T101" s="170">
        <f t="shared" ca="1" si="324"/>
        <v>5.2696272233638722E-2</v>
      </c>
      <c r="U101" s="170">
        <f t="shared" ca="1" si="324"/>
        <v>5.2339708327784347E-2</v>
      </c>
      <c r="V101" s="170">
        <f t="shared" ca="1" si="324"/>
        <v>5.1978550597141092E-2</v>
      </c>
      <c r="W101" s="170">
        <f t="shared" ca="1" si="324"/>
        <v>5.1612739856732766E-2</v>
      </c>
      <c r="X101" s="170">
        <f t="shared" ca="1" si="324"/>
        <v>5.1242216159068155E-2</v>
      </c>
      <c r="Y101" s="170">
        <f t="shared" ca="1" si="324"/>
        <v>3.4385478876067112E-2</v>
      </c>
      <c r="Z101" s="170">
        <f t="shared" ca="1" si="324"/>
        <v>0</v>
      </c>
      <c r="AA101" s="170">
        <f t="shared" ca="1" si="324"/>
        <v>0</v>
      </c>
      <c r="AB101" s="170">
        <f t="shared" ca="1" si="324"/>
        <v>0</v>
      </c>
      <c r="AC101" s="170">
        <f t="shared" ca="1" si="324"/>
        <v>0</v>
      </c>
      <c r="AD101" s="170">
        <f t="shared" ca="1" si="324"/>
        <v>0</v>
      </c>
      <c r="AE101" s="170">
        <f t="shared" ca="1" si="324"/>
        <v>0</v>
      </c>
      <c r="AF101" s="170">
        <f t="shared" ca="1" si="324"/>
        <v>0</v>
      </c>
      <c r="AG101" s="170">
        <f t="shared" ca="1" si="324"/>
        <v>0</v>
      </c>
      <c r="AH101" s="170">
        <f t="shared" ca="1" si="324"/>
        <v>0</v>
      </c>
      <c r="AI101" s="170">
        <f t="shared" ca="1" si="324"/>
        <v>0</v>
      </c>
      <c r="AJ101" s="170">
        <f t="shared" ca="1" si="324"/>
        <v>0</v>
      </c>
      <c r="AK101" s="170">
        <f t="shared" ca="1" si="324"/>
        <v>0</v>
      </c>
      <c r="AL101" s="170">
        <f t="shared" ca="1" si="324"/>
        <v>0</v>
      </c>
      <c r="BD101">
        <v>0</v>
      </c>
      <c r="BE101" s="756">
        <f t="dataTable" ref="BE101:BP102" dt2D="0" dtr="0" r1="C71" ca="1"/>
        <v>4643396.829639175</v>
      </c>
      <c r="BF101" s="756">
        <v>4656656.3857246442</v>
      </c>
      <c r="BG101" s="756">
        <v>4669985.4800997274</v>
      </c>
      <c r="BH101" s="756">
        <v>4638398.725250084</v>
      </c>
      <c r="BI101" s="756">
        <v>4647860.2691896101</v>
      </c>
      <c r="BJ101" s="756">
        <v>4660367.3255039947</v>
      </c>
      <c r="BK101" s="756">
        <v>4654455.8814376313</v>
      </c>
      <c r="BL101" s="756">
        <v>4653113.9183884831</v>
      </c>
      <c r="BM101" s="756">
        <v>4666830.6121509578</v>
      </c>
      <c r="BN101" s="756">
        <v>4680622.1857084315</v>
      </c>
      <c r="BO101" s="756">
        <v>4690501.255179706</v>
      </c>
      <c r="BP101" s="756">
        <v>4893652.7948130555</v>
      </c>
      <c r="BR101" s="44" t="s">
        <v>476</v>
      </c>
      <c r="BS101" s="161">
        <f t="shared" ref="BS101:CD101" si="325">+E86</f>
        <v>8.7719995465732628E-2</v>
      </c>
      <c r="BT101" s="161">
        <f t="shared" si="325"/>
        <v>8.7720179205244164E-2</v>
      </c>
      <c r="BU101" s="161">
        <f t="shared" si="325"/>
        <v>0.18197779942524284</v>
      </c>
      <c r="BV101" s="161">
        <f t="shared" si="325"/>
        <v>0.19035645198918558</v>
      </c>
      <c r="BW101" s="161">
        <f t="shared" si="325"/>
        <v>9.819346310227102E-2</v>
      </c>
      <c r="BX101" s="161">
        <f t="shared" si="325"/>
        <v>0.13065978368760456</v>
      </c>
      <c r="BY101" s="161">
        <f t="shared" si="325"/>
        <v>0.15998444464922032</v>
      </c>
      <c r="BZ101" s="161">
        <f t="shared" si="325"/>
        <v>0.11913953731122666</v>
      </c>
      <c r="CA101" s="161">
        <f t="shared" si="325"/>
        <v>8.7720245017049558E-2</v>
      </c>
      <c r="CB101" s="161">
        <f t="shared" si="325"/>
        <v>9.6098634336399202E-2</v>
      </c>
      <c r="CC101" s="161">
        <f t="shared" si="325"/>
        <v>0.15360200027665008</v>
      </c>
      <c r="CD101" s="161">
        <f t="shared" si="325"/>
        <v>0.18187972852674386</v>
      </c>
    </row>
    <row r="102" spans="1:82">
      <c r="A102" s="2" t="s">
        <v>596</v>
      </c>
      <c r="B102" s="11"/>
      <c r="D102" s="59"/>
      <c r="E102" s="59">
        <f>E101*E$10</f>
        <v>0</v>
      </c>
      <c r="F102" s="59">
        <f t="shared" ref="F102:P102" si="326">F101*F$10</f>
        <v>0</v>
      </c>
      <c r="G102" s="59">
        <f t="shared" si="326"/>
        <v>0</v>
      </c>
      <c r="H102" s="59">
        <f t="shared" si="326"/>
        <v>0</v>
      </c>
      <c r="I102" s="59">
        <f t="shared" si="326"/>
        <v>0</v>
      </c>
      <c r="J102" s="59">
        <f t="shared" si="326"/>
        <v>0</v>
      </c>
      <c r="K102" s="59">
        <f t="shared" si="326"/>
        <v>0</v>
      </c>
      <c r="L102" s="59">
        <f t="shared" si="326"/>
        <v>0</v>
      </c>
      <c r="M102" s="59">
        <f t="shared" si="326"/>
        <v>0</v>
      </c>
      <c r="N102" s="59">
        <f t="shared" si="326"/>
        <v>0</v>
      </c>
      <c r="O102" s="59">
        <f t="shared" si="326"/>
        <v>0</v>
      </c>
      <c r="P102" s="59">
        <f t="shared" si="326"/>
        <v>67629.960000000079</v>
      </c>
      <c r="Q102" s="59">
        <f>SUM(E102:P102)</f>
        <v>67629.960000000079</v>
      </c>
      <c r="S102" s="59">
        <f t="shared" ref="S102:AL102" ca="1" si="327">MIN(S10-S78-S90,MAX(S110-S100,0))</f>
        <v>24642.16376508036</v>
      </c>
      <c r="T102" s="59">
        <f t="shared" ca="1" si="327"/>
        <v>25702.570289788768</v>
      </c>
      <c r="U102" s="59">
        <f t="shared" ca="1" si="327"/>
        <v>26805.089316210244</v>
      </c>
      <c r="V102" s="59">
        <f t="shared" ca="1" si="327"/>
        <v>27951.133519616735</v>
      </c>
      <c r="W102" s="59">
        <f t="shared" ca="1" si="327"/>
        <v>29142.142187484074</v>
      </c>
      <c r="X102" s="59">
        <f t="shared" ca="1" si="327"/>
        <v>30379.579753510945</v>
      </c>
      <c r="Y102" s="59">
        <f t="shared" ca="1" si="327"/>
        <v>21405.147942219686</v>
      </c>
      <c r="Z102" s="59">
        <f t="shared" ca="1" si="327"/>
        <v>0</v>
      </c>
      <c r="AA102" s="59">
        <f t="shared" ca="1" si="327"/>
        <v>0</v>
      </c>
      <c r="AB102" s="59">
        <f t="shared" ca="1" si="327"/>
        <v>0</v>
      </c>
      <c r="AC102" s="59">
        <f t="shared" ca="1" si="327"/>
        <v>0</v>
      </c>
      <c r="AD102" s="59">
        <f t="shared" ca="1" si="327"/>
        <v>0</v>
      </c>
      <c r="AE102" s="59">
        <f t="shared" ca="1" si="327"/>
        <v>0</v>
      </c>
      <c r="AF102" s="59">
        <f t="shared" ca="1" si="327"/>
        <v>0</v>
      </c>
      <c r="AG102" s="59">
        <f t="shared" ca="1" si="327"/>
        <v>0</v>
      </c>
      <c r="AH102" s="59">
        <f t="shared" ca="1" si="327"/>
        <v>0</v>
      </c>
      <c r="AI102" s="59">
        <f t="shared" ca="1" si="327"/>
        <v>0</v>
      </c>
      <c r="AJ102" s="59">
        <f t="shared" ca="1" si="327"/>
        <v>0</v>
      </c>
      <c r="AK102" s="59">
        <f t="shared" ca="1" si="327"/>
        <v>0</v>
      </c>
      <c r="AL102" s="59">
        <f t="shared" ca="1" si="327"/>
        <v>0</v>
      </c>
      <c r="BD102">
        <v>1</v>
      </c>
      <c r="BE102" s="756">
        <v>4643396.829639175</v>
      </c>
      <c r="BF102" s="756">
        <v>4656656.3857246442</v>
      </c>
      <c r="BG102" s="756">
        <v>4669985.4800997274</v>
      </c>
      <c r="BH102" s="756">
        <v>4638398.725250084</v>
      </c>
      <c r="BI102" s="756">
        <v>4647860.2691896101</v>
      </c>
      <c r="BJ102" s="756">
        <v>4660367.3255039947</v>
      </c>
      <c r="BK102" s="756">
        <v>4654455.8814376313</v>
      </c>
      <c r="BL102" s="756">
        <v>4653113.9183884831</v>
      </c>
      <c r="BM102" s="756">
        <v>4666830.6121509578</v>
      </c>
      <c r="BN102" s="756">
        <v>4680622.1857084315</v>
      </c>
      <c r="BO102" s="756">
        <v>4690501.255179706</v>
      </c>
      <c r="BP102" s="756">
        <v>4893652.7948130555</v>
      </c>
      <c r="BR102">
        <v>0</v>
      </c>
      <c r="BS102" s="59">
        <f t="dataTable" ref="BS102:CD104" dt2D="0" dtr="0" r1="C71" ca="1"/>
        <v>0.55318750000000005</v>
      </c>
      <c r="BT102" s="59">
        <v>0.5531886587141619</v>
      </c>
      <c r="BU102" s="59">
        <v>0.55318865871658895</v>
      </c>
      <c r="BV102" s="59">
        <v>0.55318865871658895</v>
      </c>
      <c r="BW102" s="59">
        <v>0.55318865871658895</v>
      </c>
      <c r="BX102" s="59">
        <v>0.55318865871658895</v>
      </c>
      <c r="BY102" s="59">
        <v>0.55318865871658895</v>
      </c>
      <c r="BZ102" s="59">
        <v>0.55318865871658895</v>
      </c>
      <c r="CA102" s="59">
        <v>0.55318865871658895</v>
      </c>
      <c r="CB102" s="59">
        <v>0.55318865871658895</v>
      </c>
      <c r="CC102" s="59">
        <v>0.55318865871658895</v>
      </c>
      <c r="CD102" s="59">
        <v>0.65182692902917649</v>
      </c>
    </row>
    <row r="103" spans="1:82">
      <c r="A103" s="2" t="s">
        <v>464</v>
      </c>
      <c r="B103" s="11"/>
      <c r="D103" s="59"/>
      <c r="E103" s="59">
        <f>-E94</f>
        <v>0</v>
      </c>
      <c r="F103" s="59">
        <f t="shared" ref="F103:Q103" si="328">-F94</f>
        <v>0</v>
      </c>
      <c r="G103" s="59">
        <f t="shared" si="328"/>
        <v>0</v>
      </c>
      <c r="H103" s="59">
        <f t="shared" si="328"/>
        <v>0</v>
      </c>
      <c r="I103" s="59">
        <f t="shared" si="328"/>
        <v>0</v>
      </c>
      <c r="J103" s="59">
        <f t="shared" si="328"/>
        <v>0</v>
      </c>
      <c r="K103" s="59">
        <f t="shared" si="328"/>
        <v>0</v>
      </c>
      <c r="L103" s="59">
        <f t="shared" si="328"/>
        <v>0</v>
      </c>
      <c r="M103" s="59">
        <f>-M94</f>
        <v>0</v>
      </c>
      <c r="N103" s="59">
        <f t="shared" si="328"/>
        <v>0</v>
      </c>
      <c r="O103" s="59">
        <f t="shared" si="328"/>
        <v>-26245.125837159325</v>
      </c>
      <c r="P103" s="59">
        <f t="shared" si="328"/>
        <v>0</v>
      </c>
      <c r="Q103" s="59">
        <f t="shared" si="328"/>
        <v>-26245.125837159325</v>
      </c>
      <c r="R103" s="59" t="b">
        <f>+Q103=SUM(E103:P103)</f>
        <v>1</v>
      </c>
      <c r="S103" s="59">
        <f t="shared" ref="S103:T103" ca="1" si="329">-S94</f>
        <v>0</v>
      </c>
      <c r="T103" s="59">
        <f t="shared" ca="1" si="329"/>
        <v>0</v>
      </c>
      <c r="U103" s="59">
        <f t="shared" ref="U103:AB103" ca="1" si="330">-U94</f>
        <v>0</v>
      </c>
      <c r="V103" s="59">
        <f t="shared" ca="1" si="330"/>
        <v>0</v>
      </c>
      <c r="W103" s="59">
        <f t="shared" ca="1" si="330"/>
        <v>0</v>
      </c>
      <c r="X103" s="59">
        <f t="shared" ca="1" si="330"/>
        <v>0</v>
      </c>
      <c r="Y103" s="59">
        <f t="shared" ca="1" si="330"/>
        <v>0</v>
      </c>
      <c r="Z103" s="59">
        <f t="shared" ca="1" si="330"/>
        <v>0</v>
      </c>
      <c r="AA103" s="59">
        <f t="shared" ca="1" si="330"/>
        <v>0</v>
      </c>
      <c r="AB103" s="59">
        <f t="shared" ca="1" si="330"/>
        <v>0</v>
      </c>
      <c r="AC103" s="59">
        <f t="shared" ref="AC103:AL103" ca="1" si="331">-AC94</f>
        <v>0</v>
      </c>
      <c r="AD103" s="59">
        <f t="shared" ca="1" si="331"/>
        <v>0</v>
      </c>
      <c r="AE103" s="59">
        <f t="shared" ca="1" si="331"/>
        <v>0</v>
      </c>
      <c r="AF103" s="59">
        <f t="shared" ca="1" si="331"/>
        <v>0</v>
      </c>
      <c r="AG103" s="59">
        <f t="shared" ca="1" si="331"/>
        <v>0</v>
      </c>
      <c r="AH103" s="59">
        <f t="shared" ca="1" si="331"/>
        <v>0</v>
      </c>
      <c r="AI103" s="59">
        <f t="shared" ca="1" si="331"/>
        <v>0</v>
      </c>
      <c r="AJ103" s="59">
        <f t="shared" ca="1" si="331"/>
        <v>0</v>
      </c>
      <c r="AK103" s="59">
        <f t="shared" ca="1" si="331"/>
        <v>0</v>
      </c>
      <c r="AL103" s="59">
        <f t="shared" ca="1" si="331"/>
        <v>0</v>
      </c>
      <c r="AM103" s="59"/>
      <c r="AN103" s="59"/>
      <c r="AO103" s="59"/>
      <c r="AP103" s="59"/>
      <c r="AQ103" s="59"/>
      <c r="AR103" s="59"/>
      <c r="AS103" s="59"/>
      <c r="AT103" s="59"/>
      <c r="AU103" s="59"/>
      <c r="AV103" s="59"/>
      <c r="AW103" s="59"/>
      <c r="BP103" s="756"/>
      <c r="BR103">
        <v>1</v>
      </c>
      <c r="BS103" s="59">
        <v>8.7719995465732628E-2</v>
      </c>
      <c r="BT103" s="59">
        <v>8.7720179205244164E-2</v>
      </c>
      <c r="BU103" s="59">
        <v>0.18197779942524284</v>
      </c>
      <c r="BV103" s="59">
        <v>0.19035645198918558</v>
      </c>
      <c r="BW103" s="59">
        <v>9.819346310227102E-2</v>
      </c>
      <c r="BX103" s="59">
        <v>0.13065978368760456</v>
      </c>
      <c r="BY103" s="59">
        <v>0.15998444464922032</v>
      </c>
      <c r="BZ103" s="59">
        <v>0.11913953731122666</v>
      </c>
      <c r="CA103" s="59">
        <v>8.7720245017049558E-2</v>
      </c>
      <c r="CB103" s="59">
        <v>9.6098634336399202E-2</v>
      </c>
      <c r="CC103" s="59">
        <v>0.15360200027665008</v>
      </c>
      <c r="CD103" s="59">
        <v>0.18187972852674386</v>
      </c>
    </row>
    <row r="104" spans="1:82" ht="21.75" customHeight="1">
      <c r="A104" s="570" t="s">
        <v>455</v>
      </c>
      <c r="B104" s="571"/>
      <c r="C104" s="570"/>
      <c r="D104" s="575">
        <f ca="1">IF(C71=1,OPTIMIZER!G26,'Balance Sheet'!B15)</f>
        <v>135000</v>
      </c>
      <c r="E104" s="572">
        <f ca="1">ROUND(E100+SUM(E102:E103),4)</f>
        <v>135000</v>
      </c>
      <c r="F104" s="572">
        <f ca="1">ROUND(F100+SUM(F102:F103),4)</f>
        <v>135288.8438</v>
      </c>
      <c r="G104" s="572">
        <f t="shared" ref="G104" ca="1" si="332">ROUND(G100+SUM(G102:G103),4)</f>
        <v>135578.30559999999</v>
      </c>
      <c r="H104" s="572">
        <f t="shared" ref="H104" ca="1" si="333">ROUND(H100+SUM(H102:H103),4)</f>
        <v>135868.3867</v>
      </c>
      <c r="I104" s="572">
        <f t="shared" ref="I104" ca="1" si="334">ROUND(I100+SUM(I102:I103),4)</f>
        <v>136159.08840000001</v>
      </c>
      <c r="J104" s="572">
        <f t="shared" ref="J104" ca="1" si="335">ROUND(J100+SUM(J102:J103),4)</f>
        <v>136450.41209999999</v>
      </c>
      <c r="K104" s="572">
        <f t="shared" ref="K104" ca="1" si="336">ROUND(K100+SUM(K102:K103),4)</f>
        <v>136742.3591</v>
      </c>
      <c r="L104" s="572">
        <f t="shared" ref="L104" ca="1" si="337">ROUND(L100+SUM(L102:L103),4)</f>
        <v>137034.9308</v>
      </c>
      <c r="M104" s="572">
        <f t="shared" ref="M104" ca="1" si="338">ROUND(M100+SUM(M102:M103),4)</f>
        <v>137328.12849999999</v>
      </c>
      <c r="N104" s="572">
        <f t="shared" ref="N104" ca="1" si="339">ROUND(N100+SUM(N102:N103),4)</f>
        <v>137621.9535</v>
      </c>
      <c r="O104" s="572">
        <f t="shared" ref="O104" ca="1" si="340">ROUND(O100+SUM(O102:O103),4)</f>
        <v>137916.40710000001</v>
      </c>
      <c r="P104" s="572">
        <f t="shared" ref="P104" ca="1" si="341">ROUND(P100+SUM(P102:P103),4)</f>
        <v>138211.49069999999</v>
      </c>
      <c r="Q104" s="572">
        <f ca="1">ROUND(Q100+SUM(Q102:Q103)+SUM(E108:P108),4)</f>
        <v>138507.20569999999</v>
      </c>
      <c r="R104" s="60" t="b">
        <f ca="1">ROUND(Q104,3)=ROUND(P104+P108,3)</f>
        <v>1</v>
      </c>
      <c r="S104" s="572">
        <f t="shared" ref="S104" ca="1" si="342">ROUND(S100+SUM(S102:S103),4)</f>
        <v>163149.3695</v>
      </c>
      <c r="T104" s="572">
        <f ca="1">ROUND(T100+SUM(T102:T103),4)</f>
        <v>192720.1072</v>
      </c>
      <c r="U104" s="572">
        <f t="shared" ref="U104:AB104" ca="1" si="343">ROUND(U100+SUM(U102:U103),4)</f>
        <v>224138.14230000001</v>
      </c>
      <c r="V104" s="572">
        <f t="shared" ca="1" si="343"/>
        <v>257493.83600000001</v>
      </c>
      <c r="W104" s="572">
        <f t="shared" ca="1" si="343"/>
        <v>292881.28820000001</v>
      </c>
      <c r="X104" s="572">
        <f t="shared" ca="1" si="343"/>
        <v>330398.45809999999</v>
      </c>
      <c r="Y104" s="572">
        <f t="shared" ca="1" si="343"/>
        <v>359887.5</v>
      </c>
      <c r="Z104" s="572">
        <f t="shared" ca="1" si="343"/>
        <v>368842.75469999999</v>
      </c>
      <c r="AA104" s="572">
        <f t="shared" ca="1" si="343"/>
        <v>378302.15740000003</v>
      </c>
      <c r="AB104" s="572">
        <f t="shared" ca="1" si="343"/>
        <v>388004.15749999997</v>
      </c>
      <c r="AC104" s="572">
        <f t="shared" ref="AC104:AL104" ca="1" si="344">ROUND(AC100+SUM(AC102:AC103),4)</f>
        <v>397954.9767</v>
      </c>
      <c r="AD104" s="572">
        <f t="shared" ca="1" si="344"/>
        <v>408160.9963</v>
      </c>
      <c r="AE104" s="572">
        <f t="shared" ca="1" si="344"/>
        <v>418628.7611</v>
      </c>
      <c r="AF104" s="572">
        <f t="shared" ca="1" si="344"/>
        <v>429364.984</v>
      </c>
      <c r="AG104" s="572">
        <f t="shared" ca="1" si="344"/>
        <v>440376.54979999998</v>
      </c>
      <c r="AH104" s="572">
        <f t="shared" ca="1" si="344"/>
        <v>451670.52010000002</v>
      </c>
      <c r="AI104" s="572">
        <f t="shared" ca="1" si="344"/>
        <v>463254.13740000001</v>
      </c>
      <c r="AJ104" s="572">
        <f t="shared" ca="1" si="344"/>
        <v>475134.83010000002</v>
      </c>
      <c r="AK104" s="572">
        <f t="shared" ca="1" si="344"/>
        <v>487320.217</v>
      </c>
      <c r="AL104" s="572">
        <f t="shared" ca="1" si="344"/>
        <v>499818.11239999998</v>
      </c>
      <c r="AM104" s="60"/>
      <c r="AN104" s="60"/>
      <c r="AO104" s="60"/>
      <c r="AP104" s="60"/>
      <c r="AQ104" s="60"/>
      <c r="AR104" s="60"/>
      <c r="AS104" s="60"/>
      <c r="AT104" s="60"/>
      <c r="AU104" s="60"/>
      <c r="AV104" s="60"/>
      <c r="AW104" s="60"/>
      <c r="AX104" s="59"/>
      <c r="BE104" s="1005" t="str">
        <f>+A78</f>
        <v>Income allocation to Immediate</v>
      </c>
      <c r="BF104" s="1006"/>
      <c r="BG104" s="1006"/>
      <c r="BH104" s="1006"/>
      <c r="BI104" s="1006"/>
      <c r="BJ104" s="1006"/>
      <c r="BK104" s="1006"/>
      <c r="BL104" s="1006"/>
      <c r="BM104" s="1006"/>
      <c r="BN104" s="1006"/>
      <c r="BO104" s="1006"/>
      <c r="BP104" s="1006"/>
      <c r="BS104" s="59">
        <v>0.55318750000000005</v>
      </c>
      <c r="BT104" s="59">
        <v>0.5531886587141619</v>
      </c>
      <c r="BU104" s="59">
        <v>0.55318865871658895</v>
      </c>
      <c r="BV104" s="59">
        <v>0.55318865871658895</v>
      </c>
      <c r="BW104" s="59">
        <v>0.55318865871658895</v>
      </c>
      <c r="BX104" s="59">
        <v>0.55318865871658895</v>
      </c>
      <c r="BY104" s="59">
        <v>0.55318865871658895</v>
      </c>
      <c r="BZ104" s="59">
        <v>0.55318865871658895</v>
      </c>
      <c r="CA104" s="59">
        <v>0.55318865871658895</v>
      </c>
      <c r="CB104" s="59">
        <v>0.55318865871658895</v>
      </c>
      <c r="CC104" s="59">
        <v>0.55318865871658895</v>
      </c>
      <c r="CD104" s="59">
        <v>0.65182692902917649</v>
      </c>
    </row>
    <row r="105" spans="1:82" ht="21.75" customHeight="1">
      <c r="A105" s="551" t="s">
        <v>445</v>
      </c>
      <c r="B105" s="552"/>
      <c r="C105" s="551"/>
      <c r="D105" s="560">
        <f>IF($C$71=1,OPTIMIZER!$AW$26,'Balance Sheet'!E15)</f>
        <v>3.3349999999999998E-2</v>
      </c>
      <c r="E105" s="553">
        <f>+D105</f>
        <v>3.3349999999999998E-2</v>
      </c>
      <c r="F105" s="553">
        <f t="shared" ref="F105:P105" si="345">+E105</f>
        <v>3.3349999999999998E-2</v>
      </c>
      <c r="G105" s="553">
        <f t="shared" si="345"/>
        <v>3.3349999999999998E-2</v>
      </c>
      <c r="H105" s="553">
        <f t="shared" si="345"/>
        <v>3.3349999999999998E-2</v>
      </c>
      <c r="I105" s="553">
        <f t="shared" si="345"/>
        <v>3.3349999999999998E-2</v>
      </c>
      <c r="J105" s="553">
        <f t="shared" si="345"/>
        <v>3.3349999999999998E-2</v>
      </c>
      <c r="K105" s="553">
        <f t="shared" si="345"/>
        <v>3.3349999999999998E-2</v>
      </c>
      <c r="L105" s="553">
        <f t="shared" si="345"/>
        <v>3.3349999999999998E-2</v>
      </c>
      <c r="M105" s="553">
        <f t="shared" si="345"/>
        <v>3.3349999999999998E-2</v>
      </c>
      <c r="N105" s="553">
        <f t="shared" si="345"/>
        <v>3.3349999999999998E-2</v>
      </c>
      <c r="O105" s="553">
        <f t="shared" si="345"/>
        <v>3.3349999999999998E-2</v>
      </c>
      <c r="P105" s="553">
        <f t="shared" si="345"/>
        <v>3.3349999999999998E-2</v>
      </c>
      <c r="Q105" s="1009">
        <f ca="1">+Q106/AVERAGE(Q100,Q104)</f>
        <v>3.9455640624539524E-2</v>
      </c>
      <c r="R105" s="59"/>
      <c r="S105" s="553">
        <f ca="1">+Q105</f>
        <v>3.9455640624539524E-2</v>
      </c>
      <c r="T105" s="553">
        <f ca="1">+S105</f>
        <v>3.9455640624539524E-2</v>
      </c>
      <c r="U105" s="553">
        <f t="shared" ref="U105:AB105" ca="1" si="346">+T105</f>
        <v>3.9455640624539524E-2</v>
      </c>
      <c r="V105" s="553">
        <f t="shared" ca="1" si="346"/>
        <v>3.9455640624539524E-2</v>
      </c>
      <c r="W105" s="553">
        <f t="shared" ca="1" si="346"/>
        <v>3.9455640624539524E-2</v>
      </c>
      <c r="X105" s="553">
        <f t="shared" ca="1" si="346"/>
        <v>3.9455640624539524E-2</v>
      </c>
      <c r="Y105" s="553">
        <f t="shared" ca="1" si="346"/>
        <v>3.9455640624539524E-2</v>
      </c>
      <c r="Z105" s="553">
        <f t="shared" ca="1" si="346"/>
        <v>3.9455640624539524E-2</v>
      </c>
      <c r="AA105" s="553">
        <f t="shared" ca="1" si="346"/>
        <v>3.9455640624539524E-2</v>
      </c>
      <c r="AB105" s="553">
        <f t="shared" ca="1" si="346"/>
        <v>3.9455640624539524E-2</v>
      </c>
      <c r="AC105" s="553">
        <f t="shared" ref="AC105" ca="1" si="347">+AB105</f>
        <v>3.9455640624539524E-2</v>
      </c>
      <c r="AD105" s="553">
        <f t="shared" ref="AD105" ca="1" si="348">+AC105</f>
        <v>3.9455640624539524E-2</v>
      </c>
      <c r="AE105" s="553">
        <f t="shared" ref="AE105" ca="1" si="349">+AD105</f>
        <v>3.9455640624539524E-2</v>
      </c>
      <c r="AF105" s="553">
        <f t="shared" ref="AF105" ca="1" si="350">+AE105</f>
        <v>3.9455640624539524E-2</v>
      </c>
      <c r="AG105" s="553">
        <f t="shared" ref="AG105" ca="1" si="351">+AF105</f>
        <v>3.9455640624539524E-2</v>
      </c>
      <c r="AH105" s="553">
        <f t="shared" ref="AH105" ca="1" si="352">+AG105</f>
        <v>3.9455640624539524E-2</v>
      </c>
      <c r="AI105" s="553">
        <f t="shared" ref="AI105" ca="1" si="353">+AH105</f>
        <v>3.9455640624539524E-2</v>
      </c>
      <c r="AJ105" s="553">
        <f t="shared" ref="AJ105" ca="1" si="354">+AI105</f>
        <v>3.9455640624539524E-2</v>
      </c>
      <c r="AK105" s="553">
        <f t="shared" ref="AK105" ca="1" si="355">+AJ105</f>
        <v>3.9455640624539524E-2</v>
      </c>
      <c r="AL105" s="553">
        <f t="shared" ref="AL105" ca="1" si="356">+AK105</f>
        <v>3.9455640624539524E-2</v>
      </c>
      <c r="AM105" s="59"/>
      <c r="AN105" s="59"/>
      <c r="AO105" s="59"/>
      <c r="AP105" s="59"/>
      <c r="AQ105" s="59"/>
      <c r="AR105" s="59"/>
      <c r="AS105" s="59"/>
      <c r="AT105" s="59"/>
      <c r="AU105" s="59"/>
      <c r="AV105" s="59"/>
      <c r="AW105" s="59"/>
      <c r="BE105" s="51" t="str">
        <f>BE$75</f>
        <v>January</v>
      </c>
      <c r="BF105" s="51" t="str">
        <f t="shared" ref="BF105:BP105" si="357">BF$75</f>
        <v>February</v>
      </c>
      <c r="BG105" s="51" t="str">
        <f t="shared" si="357"/>
        <v>March</v>
      </c>
      <c r="BH105" s="51" t="str">
        <f t="shared" si="357"/>
        <v>April</v>
      </c>
      <c r="BI105" s="51" t="str">
        <f t="shared" si="357"/>
        <v xml:space="preserve">May </v>
      </c>
      <c r="BJ105" s="51" t="str">
        <f t="shared" si="357"/>
        <v>June</v>
      </c>
      <c r="BK105" s="51" t="str">
        <f t="shared" si="357"/>
        <v>July</v>
      </c>
      <c r="BL105" s="51" t="str">
        <f t="shared" si="357"/>
        <v xml:space="preserve">August </v>
      </c>
      <c r="BM105" s="51" t="str">
        <f t="shared" si="357"/>
        <v>September</v>
      </c>
      <c r="BN105" s="51" t="str">
        <f t="shared" si="357"/>
        <v>October</v>
      </c>
      <c r="BO105" s="51" t="str">
        <f t="shared" si="357"/>
        <v>November</v>
      </c>
      <c r="BP105" s="51" t="str">
        <f t="shared" si="357"/>
        <v>December</v>
      </c>
      <c r="BS105" s="59"/>
      <c r="BT105" s="59"/>
      <c r="BU105" s="59"/>
      <c r="BV105" s="59"/>
      <c r="BW105" s="59"/>
      <c r="BX105" s="59"/>
      <c r="BY105" s="59"/>
      <c r="BZ105" s="59"/>
      <c r="CA105" s="59"/>
      <c r="CB105" s="59"/>
      <c r="CC105" s="59"/>
      <c r="CD105" s="59"/>
    </row>
    <row r="106" spans="1:82">
      <c r="A106" s="564" t="s">
        <v>456</v>
      </c>
      <c r="B106" s="565" t="s">
        <v>501</v>
      </c>
      <c r="C106" s="511"/>
      <c r="D106" s="566"/>
      <c r="E106" s="576"/>
      <c r="F106" s="576"/>
      <c r="G106" s="576"/>
      <c r="H106" s="576"/>
      <c r="I106" s="576"/>
      <c r="J106" s="576"/>
      <c r="K106" s="576"/>
      <c r="L106" s="576"/>
      <c r="M106" s="576"/>
      <c r="N106" s="576"/>
      <c r="O106" s="576"/>
      <c r="P106" s="576">
        <f ca="1">SUM(E107:P107)</f>
        <v>5395.701008160604</v>
      </c>
      <c r="Q106" s="576">
        <f ca="1">+P106</f>
        <v>5395.701008160604</v>
      </c>
      <c r="S106" s="576">
        <f ca="1">+S107</f>
        <v>5951.0267116002633</v>
      </c>
      <c r="T106" s="576">
        <f ca="1">+T107</f>
        <v>7096.839601625049</v>
      </c>
      <c r="U106" s="576">
        <f t="shared" ref="U106:AL106" ca="1" si="358">+U107</f>
        <v>8314.7080065131249</v>
      </c>
      <c r="V106" s="576">
        <f t="shared" ca="1" si="358"/>
        <v>9608.1693171213738</v>
      </c>
      <c r="W106" s="576">
        <f t="shared" ca="1" si="358"/>
        <v>10980.907909142477</v>
      </c>
      <c r="X106" s="576">
        <f t="shared" ca="1" si="358"/>
        <v>12436.759935046628</v>
      </c>
      <c r="Y106" s="576">
        <f t="shared" ca="1" si="358"/>
        <v>13777.314952902309</v>
      </c>
      <c r="Z106" s="576">
        <f t="shared" ca="1" si="358"/>
        <v>14552.927176790839</v>
      </c>
      <c r="AA106" s="576">
        <f t="shared" ca="1" si="358"/>
        <v>14926.153969170216</v>
      </c>
      <c r="AB106" s="576">
        <f t="shared" ca="1" si="358"/>
        <v>15308.952598751899</v>
      </c>
      <c r="AC106" s="576">
        <f t="shared" ca="1" si="358"/>
        <v>15701.568545208916</v>
      </c>
      <c r="AD106" s="576">
        <f t="shared" ca="1" si="358"/>
        <v>16104.253586066938</v>
      </c>
      <c r="AE106" s="576">
        <f t="shared" ca="1" si="358"/>
        <v>16517.265953668259</v>
      </c>
      <c r="AF106" s="576">
        <f t="shared" ca="1" si="358"/>
        <v>16940.870504871047</v>
      </c>
      <c r="AG106" s="576">
        <f t="shared" ca="1" si="358"/>
        <v>17375.338888939092</v>
      </c>
      <c r="AH106" s="576">
        <f t="shared" ca="1" si="358"/>
        <v>17820.949721326706</v>
      </c>
      <c r="AI106" s="576">
        <f t="shared" ca="1" si="358"/>
        <v>18277.988763457568</v>
      </c>
      <c r="AJ106" s="576">
        <f t="shared" ca="1" si="358"/>
        <v>18746.749104553215</v>
      </c>
      <c r="AK106" s="576">
        <f t="shared" ca="1" si="358"/>
        <v>19227.531351378922</v>
      </c>
      <c r="AL106" s="576">
        <f t="shared" ca="1" si="358"/>
        <v>19720.64382006391</v>
      </c>
      <c r="BD106" s="44" t="s">
        <v>476</v>
      </c>
      <c r="BE106" s="161">
        <f t="shared" ref="BE106:BP106" si="359">E78</f>
        <v>18813.52963917526</v>
      </c>
      <c r="BF106" s="161">
        <f t="shared" si="359"/>
        <v>18813.52963917526</v>
      </c>
      <c r="BG106" s="161">
        <f t="shared" si="359"/>
        <v>18813.52963917526</v>
      </c>
      <c r="BH106" s="161">
        <f t="shared" si="359"/>
        <v>18813.52963917526</v>
      </c>
      <c r="BI106" s="161">
        <f t="shared" si="359"/>
        <v>18813.52963917526</v>
      </c>
      <c r="BJ106" s="161">
        <f t="shared" si="359"/>
        <v>18813.52963917526</v>
      </c>
      <c r="BK106" s="161">
        <f t="shared" si="359"/>
        <v>18813.52963917526</v>
      </c>
      <c r="BL106" s="161">
        <f t="shared" si="359"/>
        <v>18813.52963917526</v>
      </c>
      <c r="BM106" s="161">
        <f t="shared" si="359"/>
        <v>18813.52963917526</v>
      </c>
      <c r="BN106" s="161">
        <f t="shared" si="359"/>
        <v>18813.52963917526</v>
      </c>
      <c r="BO106" s="161">
        <f t="shared" si="359"/>
        <v>18813.52963917526</v>
      </c>
      <c r="BP106" s="161">
        <f t="shared" si="359"/>
        <v>38439.42</v>
      </c>
      <c r="BS106" s="1005" t="s">
        <v>645</v>
      </c>
      <c r="BT106" s="1007"/>
      <c r="BU106" s="1007"/>
      <c r="BV106" s="1007"/>
      <c r="BW106" s="1007"/>
      <c r="BX106" s="1007"/>
      <c r="BY106" s="1007"/>
      <c r="BZ106" s="1007"/>
      <c r="CA106" s="1007"/>
      <c r="CB106" s="1007"/>
      <c r="CC106" s="1007"/>
      <c r="CD106" s="1007"/>
    </row>
    <row r="107" spans="1:82">
      <c r="A107" s="564" t="s">
        <v>499</v>
      </c>
      <c r="B107" s="565"/>
      <c r="C107" s="511"/>
      <c r="D107" s="566"/>
      <c r="E107" s="566">
        <f ca="1">AVERAGE(E100,E104)*E105/12</f>
        <v>444.375</v>
      </c>
      <c r="F107" s="566">
        <f ca="1">AVERAGE(F100,F104)*F105/12</f>
        <v>445.32577742604172</v>
      </c>
      <c r="G107" s="566">
        <f t="shared" ref="G107:P107" ca="1" si="360">AVERAGE(G100,G104)*G105/12</f>
        <v>446.2785891931423</v>
      </c>
      <c r="H107" s="566">
        <f t="shared" ca="1" si="360"/>
        <v>447.23343952614727</v>
      </c>
      <c r="I107" s="566">
        <f t="shared" ca="1" si="360"/>
        <v>448.19033270874314</v>
      </c>
      <c r="J107" s="566">
        <f t="shared" ca="1" si="360"/>
        <v>449.14927318926237</v>
      </c>
      <c r="K107" s="566">
        <f t="shared" ca="1" si="360"/>
        <v>450.11026541621385</v>
      </c>
      <c r="L107" s="566">
        <f t="shared" ca="1" si="360"/>
        <v>451.0733138381068</v>
      </c>
      <c r="M107" s="566">
        <f t="shared" ca="1" si="360"/>
        <v>452.03842290344966</v>
      </c>
      <c r="N107" s="566">
        <f t="shared" ca="1" si="360"/>
        <v>453.00559689616858</v>
      </c>
      <c r="O107" s="566">
        <f t="shared" ca="1" si="360"/>
        <v>453.9748401000129</v>
      </c>
      <c r="P107" s="566">
        <f t="shared" ca="1" si="360"/>
        <v>454.94615696331533</v>
      </c>
      <c r="Q107" s="566">
        <f ca="1">SUM(E107:P107)</f>
        <v>5395.701008160604</v>
      </c>
      <c r="S107" s="566">
        <f ca="1">AVERAGE(S100,S104)*S105</f>
        <v>5951.0267116002633</v>
      </c>
      <c r="T107" s="566">
        <f t="shared" ref="T107:AB107" ca="1" si="361">AVERAGE(T100,T104)*T105</f>
        <v>7096.839601625049</v>
      </c>
      <c r="U107" s="566">
        <f t="shared" ca="1" si="361"/>
        <v>8314.7080065131249</v>
      </c>
      <c r="V107" s="566">
        <f t="shared" ca="1" si="361"/>
        <v>9608.1693171213738</v>
      </c>
      <c r="W107" s="566">
        <f t="shared" ca="1" si="361"/>
        <v>10980.907909142477</v>
      </c>
      <c r="X107" s="566">
        <f t="shared" ca="1" si="361"/>
        <v>12436.759935046628</v>
      </c>
      <c r="Y107" s="566">
        <f t="shared" ca="1" si="361"/>
        <v>13777.314952902309</v>
      </c>
      <c r="Z107" s="566">
        <f t="shared" ca="1" si="361"/>
        <v>14552.927176790839</v>
      </c>
      <c r="AA107" s="566">
        <f t="shared" ca="1" si="361"/>
        <v>14926.153969170216</v>
      </c>
      <c r="AB107" s="566">
        <f t="shared" ca="1" si="361"/>
        <v>15308.952598751899</v>
      </c>
      <c r="AC107" s="566">
        <f t="shared" ref="AC107:AL107" ca="1" si="362">AVERAGE(AC100,AC104)*AC105</f>
        <v>15701.568545208916</v>
      </c>
      <c r="AD107" s="566">
        <f t="shared" ca="1" si="362"/>
        <v>16104.253586066938</v>
      </c>
      <c r="AE107" s="566">
        <f t="shared" ca="1" si="362"/>
        <v>16517.265953668259</v>
      </c>
      <c r="AF107" s="566">
        <f t="shared" ca="1" si="362"/>
        <v>16940.870504871047</v>
      </c>
      <c r="AG107" s="566">
        <f t="shared" ca="1" si="362"/>
        <v>17375.338888939092</v>
      </c>
      <c r="AH107" s="566">
        <f t="shared" ca="1" si="362"/>
        <v>17820.949721326706</v>
      </c>
      <c r="AI107" s="566">
        <f t="shared" ca="1" si="362"/>
        <v>18277.988763457568</v>
      </c>
      <c r="AJ107" s="566">
        <f t="shared" ca="1" si="362"/>
        <v>18746.749104553215</v>
      </c>
      <c r="AK107" s="566">
        <f t="shared" ca="1" si="362"/>
        <v>19227.531351378922</v>
      </c>
      <c r="AL107" s="566">
        <f t="shared" ca="1" si="362"/>
        <v>19720.64382006391</v>
      </c>
      <c r="BD107">
        <v>0</v>
      </c>
      <c r="BE107" s="756">
        <f t="dataTable" ref="BE107:BP108" dt2D="0" dtr="0" r1="C71" ca="1"/>
        <v>18813.52963917526</v>
      </c>
      <c r="BF107" s="756">
        <v>18813.52963917526</v>
      </c>
      <c r="BG107" s="756">
        <v>18813.52963917526</v>
      </c>
      <c r="BH107" s="756">
        <v>18813.52963917526</v>
      </c>
      <c r="BI107" s="756">
        <v>18813.52963917526</v>
      </c>
      <c r="BJ107" s="756">
        <v>18813.52963917526</v>
      </c>
      <c r="BK107" s="756">
        <v>18813.52963917526</v>
      </c>
      <c r="BL107" s="756">
        <v>18813.52963917526</v>
      </c>
      <c r="BM107" s="756">
        <v>18813.52963917526</v>
      </c>
      <c r="BN107" s="756">
        <v>18813.52963917526</v>
      </c>
      <c r="BO107" s="756">
        <v>18813.52963917526</v>
      </c>
      <c r="BP107" s="756">
        <v>95483.214793814419</v>
      </c>
      <c r="BS107" s="51" t="str">
        <f t="shared" ref="BS107:CD107" si="363">BE$75</f>
        <v>January</v>
      </c>
      <c r="BT107" s="51" t="str">
        <f t="shared" si="363"/>
        <v>February</v>
      </c>
      <c r="BU107" s="51" t="str">
        <f t="shared" si="363"/>
        <v>March</v>
      </c>
      <c r="BV107" s="51" t="str">
        <f t="shared" si="363"/>
        <v>April</v>
      </c>
      <c r="BW107" s="51" t="str">
        <f t="shared" si="363"/>
        <v xml:space="preserve">May </v>
      </c>
      <c r="BX107" s="51" t="str">
        <f t="shared" si="363"/>
        <v>June</v>
      </c>
      <c r="BY107" s="51" t="str">
        <f t="shared" si="363"/>
        <v>July</v>
      </c>
      <c r="BZ107" s="51" t="str">
        <f t="shared" si="363"/>
        <v xml:space="preserve">August </v>
      </c>
      <c r="CA107" s="51" t="str">
        <f t="shared" si="363"/>
        <v>September</v>
      </c>
      <c r="CB107" s="51" t="str">
        <f t="shared" si="363"/>
        <v>October</v>
      </c>
      <c r="CC107" s="51" t="str">
        <f t="shared" si="363"/>
        <v>November</v>
      </c>
      <c r="CD107" s="51" t="str">
        <f t="shared" si="363"/>
        <v>December</v>
      </c>
    </row>
    <row r="108" spans="1:82">
      <c r="A108" s="564" t="s">
        <v>500</v>
      </c>
      <c r="B108" s="565"/>
      <c r="C108" s="511" t="s">
        <v>498</v>
      </c>
      <c r="D108" s="607">
        <f>IF(C71=1,1-OPTIMIZER!AY26/OPTIMIZER!AW26,BB8)</f>
        <v>0.20989505247376317</v>
      </c>
      <c r="E108" s="566">
        <f ca="1">+E107*(1-$D$108)</f>
        <v>288.84375</v>
      </c>
      <c r="F108" s="566">
        <f t="shared" ref="F108:P108" ca="1" si="364">+F107*(1-$D$108)</f>
        <v>289.46175532692712</v>
      </c>
      <c r="G108" s="566">
        <f t="shared" ca="1" si="364"/>
        <v>290.08108297554253</v>
      </c>
      <c r="H108" s="566">
        <f t="shared" ca="1" si="364"/>
        <v>290.70173569199574</v>
      </c>
      <c r="I108" s="566">
        <f t="shared" ca="1" si="364"/>
        <v>291.32371626068306</v>
      </c>
      <c r="J108" s="566">
        <f t="shared" ca="1" si="364"/>
        <v>291.94702757302053</v>
      </c>
      <c r="K108" s="566">
        <f t="shared" ca="1" si="364"/>
        <v>292.57167252053904</v>
      </c>
      <c r="L108" s="566">
        <f t="shared" ca="1" si="364"/>
        <v>293.19765399476944</v>
      </c>
      <c r="M108" s="566">
        <f t="shared" ca="1" si="364"/>
        <v>293.82497488724226</v>
      </c>
      <c r="N108" s="566">
        <f t="shared" ca="1" si="364"/>
        <v>294.45363798250958</v>
      </c>
      <c r="O108" s="566">
        <f t="shared" ca="1" si="364"/>
        <v>295.08364606500839</v>
      </c>
      <c r="P108" s="566">
        <f t="shared" ca="1" si="364"/>
        <v>295.71500202615499</v>
      </c>
      <c r="Q108" s="566">
        <f ca="1">SUM(E108:P108)</f>
        <v>3507.2056553043926</v>
      </c>
      <c r="S108" s="566">
        <f t="shared" ref="S108:T108" ca="1" si="365">+S107*(1-$D$108)</f>
        <v>3868.1673625401713</v>
      </c>
      <c r="T108" s="566">
        <f t="shared" ca="1" si="365"/>
        <v>4612.9457410562818</v>
      </c>
      <c r="U108" s="566">
        <f t="shared" ref="U108:AB108" ca="1" si="366">+U107*(1-$D$108)</f>
        <v>5404.5602042335313</v>
      </c>
      <c r="V108" s="566">
        <f t="shared" ca="1" si="366"/>
        <v>6245.3100561288929</v>
      </c>
      <c r="W108" s="566">
        <f t="shared" ca="1" si="366"/>
        <v>7137.5901409426106</v>
      </c>
      <c r="X108" s="566">
        <f t="shared" ca="1" si="366"/>
        <v>8083.8939577803085</v>
      </c>
      <c r="Y108" s="566">
        <f t="shared" ca="1" si="366"/>
        <v>8955.2547193865012</v>
      </c>
      <c r="Z108" s="566">
        <f t="shared" ca="1" si="366"/>
        <v>9459.4026649140451</v>
      </c>
      <c r="AA108" s="566">
        <f t="shared" ca="1" si="366"/>
        <v>9702.0000799606405</v>
      </c>
      <c r="AB108" s="566">
        <f t="shared" ca="1" si="366"/>
        <v>9950.8191891887345</v>
      </c>
      <c r="AC108" s="566">
        <f t="shared" ref="AC108:AL108" ca="1" si="367">+AC107*(1-$D$108)</f>
        <v>10206.019554385795</v>
      </c>
      <c r="AD108" s="566">
        <f t="shared" ca="1" si="367"/>
        <v>10467.76483094351</v>
      </c>
      <c r="AE108" s="566">
        <f t="shared" ca="1" si="367"/>
        <v>10736.222869884368</v>
      </c>
      <c r="AF108" s="566">
        <f t="shared" ca="1" si="367"/>
        <v>11011.565828166182</v>
      </c>
      <c r="AG108" s="566">
        <f t="shared" ca="1" si="367"/>
        <v>11293.970277810409</v>
      </c>
      <c r="AH108" s="566">
        <f t="shared" ca="1" si="367"/>
        <v>11583.61731886236</v>
      </c>
      <c r="AI108" s="566">
        <f t="shared" ca="1" si="367"/>
        <v>11880.692696247419</v>
      </c>
      <c r="AJ108" s="566">
        <f t="shared" ca="1" si="367"/>
        <v>12185.386917959589</v>
      </c>
      <c r="AK108" s="566">
        <f t="shared" ca="1" si="367"/>
        <v>12497.895378396301</v>
      </c>
      <c r="AL108" s="566">
        <f t="shared" ca="1" si="367"/>
        <v>12818.418483041542</v>
      </c>
      <c r="BD108">
        <v>1</v>
      </c>
      <c r="BE108" s="756">
        <v>18813.52963917526</v>
      </c>
      <c r="BF108" s="756">
        <v>18813.52963917526</v>
      </c>
      <c r="BG108" s="756">
        <v>18813.52963917526</v>
      </c>
      <c r="BH108" s="756">
        <v>18813.52963917526</v>
      </c>
      <c r="BI108" s="756">
        <v>18813.52963917526</v>
      </c>
      <c r="BJ108" s="756">
        <v>18813.52963917526</v>
      </c>
      <c r="BK108" s="756">
        <v>18813.52963917526</v>
      </c>
      <c r="BL108" s="756">
        <v>18813.52963917526</v>
      </c>
      <c r="BM108" s="756">
        <v>18813.52963917526</v>
      </c>
      <c r="BN108" s="756">
        <v>18813.52963917526</v>
      </c>
      <c r="BO108" s="756">
        <v>18813.52963917526</v>
      </c>
      <c r="BP108" s="756">
        <v>38439.42</v>
      </c>
      <c r="BR108" s="44" t="s">
        <v>476</v>
      </c>
      <c r="BS108" s="161">
        <f t="shared" ref="BS108:CD108" si="368">+E98</f>
        <v>278.50276447025323</v>
      </c>
      <c r="BT108" s="161">
        <f t="shared" si="368"/>
        <v>253.81978468432231</v>
      </c>
      <c r="BU108" s="161">
        <f t="shared" si="368"/>
        <v>197.05337461543203</v>
      </c>
      <c r="BV108" s="161">
        <f t="shared" si="368"/>
        <v>135.49652255415717</v>
      </c>
      <c r="BW108" s="161">
        <f t="shared" si="368"/>
        <v>125.03808052011557</v>
      </c>
      <c r="BX108" s="161">
        <f t="shared" si="368"/>
        <v>96.504139790994671</v>
      </c>
      <c r="BY108" s="161">
        <f t="shared" si="368"/>
        <v>51.599502569847239</v>
      </c>
      <c r="BZ108" s="161">
        <f t="shared" si="368"/>
        <v>29.299721925252811</v>
      </c>
      <c r="CA108" s="161">
        <f t="shared" si="368"/>
        <v>24.416737958620093</v>
      </c>
      <c r="CB108" s="161">
        <f t="shared" si="368"/>
        <v>14.863963217482619</v>
      </c>
      <c r="CC108" s="161">
        <f t="shared" si="368"/>
        <v>3.8822881033174399</v>
      </c>
      <c r="CD108" s="161">
        <f t="shared" si="368"/>
        <v>150.68841713918917</v>
      </c>
    </row>
    <row r="109" spans="1:82">
      <c r="B109" s="11"/>
      <c r="D109" s="11">
        <f>+D105*(1-D108)</f>
        <v>2.6349999999999995E-2</v>
      </c>
      <c r="E109" s="59"/>
      <c r="F109" s="59"/>
      <c r="G109" s="59"/>
      <c r="H109" s="59"/>
      <c r="I109" s="59"/>
      <c r="J109" s="59"/>
      <c r="K109" s="59"/>
      <c r="L109" s="59"/>
      <c r="M109" s="59"/>
      <c r="N109" s="59"/>
      <c r="O109" s="59"/>
      <c r="P109" s="59"/>
      <c r="Q109" s="59"/>
      <c r="T109" s="7"/>
      <c r="U109" s="7"/>
      <c r="V109" s="7"/>
      <c r="W109" s="7"/>
      <c r="X109" s="7"/>
      <c r="Y109" s="7"/>
      <c r="Z109" s="7"/>
      <c r="AA109" s="7"/>
      <c r="AB109" s="7"/>
      <c r="AC109" s="7"/>
      <c r="AD109" s="7"/>
      <c r="AE109" s="7"/>
      <c r="AF109" s="7"/>
      <c r="AG109" s="7"/>
      <c r="AH109" s="7"/>
      <c r="AI109" s="7"/>
      <c r="AJ109" s="7"/>
      <c r="AK109" s="7"/>
      <c r="AL109" s="7"/>
      <c r="BP109" s="756"/>
      <c r="BR109">
        <v>0</v>
      </c>
      <c r="BS109" s="59">
        <f t="dataTable" ref="BS109:CD110" dt2D="0" dtr="0" r1="C71" ca="1"/>
        <v>371.90675046109101</v>
      </c>
      <c r="BT109" s="59">
        <v>354.93620645110809</v>
      </c>
      <c r="BU109" s="59">
        <v>352.07581940239368</v>
      </c>
      <c r="BV109" s="59">
        <v>312.85819372020893</v>
      </c>
      <c r="BW109" s="59">
        <v>270.34586147320528</v>
      </c>
      <c r="BX109" s="59">
        <v>263.30962449664952</v>
      </c>
      <c r="BY109" s="59">
        <v>243.74056223865495</v>
      </c>
      <c r="BZ109" s="59">
        <v>212.83017967214994</v>
      </c>
      <c r="CA109" s="59">
        <v>197.62265685113678</v>
      </c>
      <c r="CB109" s="59">
        <v>194.50810272571329</v>
      </c>
      <c r="CC109" s="59">
        <v>188.15717275278618</v>
      </c>
      <c r="CD109" s="59">
        <v>296.58647653602065</v>
      </c>
    </row>
    <row r="110" spans="1:82">
      <c r="A110" t="s">
        <v>734</v>
      </c>
      <c r="C110" t="s">
        <v>732</v>
      </c>
      <c r="D110" s="575">
        <f>+'Rent vs. Buy'!C17</f>
        <v>359887.5</v>
      </c>
      <c r="E110" s="59">
        <f t="shared" ref="E110:Q110" si="369">IF($C$71=1,$D$110,$D$111)</f>
        <v>359887.5</v>
      </c>
      <c r="F110" s="59">
        <f t="shared" si="369"/>
        <v>359887.5</v>
      </c>
      <c r="G110" s="59">
        <f t="shared" si="369"/>
        <v>359887.5</v>
      </c>
      <c r="H110" s="59">
        <f t="shared" si="369"/>
        <v>359887.5</v>
      </c>
      <c r="I110" s="59">
        <f t="shared" si="369"/>
        <v>359887.5</v>
      </c>
      <c r="J110" s="59">
        <f t="shared" si="369"/>
        <v>359887.5</v>
      </c>
      <c r="K110" s="59">
        <f t="shared" si="369"/>
        <v>359887.5</v>
      </c>
      <c r="L110" s="59">
        <f t="shared" si="369"/>
        <v>359887.5</v>
      </c>
      <c r="M110" s="59">
        <f t="shared" si="369"/>
        <v>359887.5</v>
      </c>
      <c r="N110" s="59">
        <f t="shared" si="369"/>
        <v>359887.5</v>
      </c>
      <c r="O110" s="59">
        <f t="shared" si="369"/>
        <v>359887.5</v>
      </c>
      <c r="P110" s="59">
        <f t="shared" si="369"/>
        <v>359887.5</v>
      </c>
      <c r="Q110" s="59">
        <f t="shared" si="369"/>
        <v>359887.5</v>
      </c>
      <c r="S110" s="7">
        <f>+Q110</f>
        <v>359887.5</v>
      </c>
      <c r="T110" s="7">
        <f>+S110</f>
        <v>359887.5</v>
      </c>
      <c r="U110" s="7">
        <f t="shared" ref="U110:AB110" si="370">+T110</f>
        <v>359887.5</v>
      </c>
      <c r="V110" s="7">
        <f t="shared" si="370"/>
        <v>359887.5</v>
      </c>
      <c r="W110" s="7">
        <f t="shared" si="370"/>
        <v>359887.5</v>
      </c>
      <c r="X110" s="7">
        <f t="shared" si="370"/>
        <v>359887.5</v>
      </c>
      <c r="Y110" s="7">
        <f t="shared" si="370"/>
        <v>359887.5</v>
      </c>
      <c r="Z110" s="7">
        <f t="shared" si="370"/>
        <v>359887.5</v>
      </c>
      <c r="AA110" s="7">
        <f t="shared" si="370"/>
        <v>359887.5</v>
      </c>
      <c r="AB110" s="7">
        <f t="shared" si="370"/>
        <v>359887.5</v>
      </c>
      <c r="AC110" s="7">
        <f t="shared" ref="AC110" si="371">+AB110</f>
        <v>359887.5</v>
      </c>
      <c r="AD110" s="7">
        <f t="shared" ref="AD110" si="372">+AC110</f>
        <v>359887.5</v>
      </c>
      <c r="AE110" s="7">
        <f t="shared" ref="AE110" si="373">+AD110</f>
        <v>359887.5</v>
      </c>
      <c r="AF110" s="7">
        <f t="shared" ref="AF110" si="374">+AE110</f>
        <v>359887.5</v>
      </c>
      <c r="AG110" s="7">
        <f t="shared" ref="AG110" si="375">+AF110</f>
        <v>359887.5</v>
      </c>
      <c r="AH110" s="7">
        <f t="shared" ref="AH110" si="376">+AG110</f>
        <v>359887.5</v>
      </c>
      <c r="AI110" s="7">
        <f t="shared" ref="AI110" si="377">+AH110</f>
        <v>359887.5</v>
      </c>
      <c r="AJ110" s="7">
        <f t="shared" ref="AJ110" si="378">+AI110</f>
        <v>359887.5</v>
      </c>
      <c r="AK110" s="7">
        <f t="shared" ref="AK110" si="379">+AJ110</f>
        <v>359887.5</v>
      </c>
      <c r="AL110" s="7">
        <f t="shared" ref="AL110" si="380">+AK110</f>
        <v>359887.5</v>
      </c>
      <c r="BP110" s="756"/>
      <c r="BR110">
        <v>1</v>
      </c>
      <c r="BS110" s="59">
        <v>278.50276447025323</v>
      </c>
      <c r="BT110" s="59">
        <v>253.81978468432231</v>
      </c>
      <c r="BU110" s="59">
        <v>197.05337461543203</v>
      </c>
      <c r="BV110" s="59">
        <v>135.49652255415717</v>
      </c>
      <c r="BW110" s="59">
        <v>125.03808052011557</v>
      </c>
      <c r="BX110" s="59">
        <v>96.504139790994671</v>
      </c>
      <c r="BY110" s="59">
        <v>51.599502569847239</v>
      </c>
      <c r="BZ110" s="59">
        <v>29.299721925252811</v>
      </c>
      <c r="CA110" s="59">
        <v>24.416737958620093</v>
      </c>
      <c r="CB110" s="59">
        <v>14.863963217482619</v>
      </c>
      <c r="CC110" s="59">
        <v>3.8822881033174399</v>
      </c>
      <c r="CD110" s="59">
        <v>150.68841713918917</v>
      </c>
    </row>
    <row r="111" spans="1:82" ht="24.75" customHeight="1">
      <c r="B111" s="11"/>
      <c r="C111" t="s">
        <v>737</v>
      </c>
      <c r="D111" s="575">
        <f>+D110</f>
        <v>359887.5</v>
      </c>
      <c r="E111" s="59"/>
      <c r="F111" s="11"/>
      <c r="G111" s="11"/>
      <c r="H111" s="11"/>
      <c r="I111" s="11"/>
      <c r="J111" s="11"/>
      <c r="K111" s="11"/>
      <c r="L111" s="59"/>
      <c r="M111" s="59"/>
      <c r="N111" s="59"/>
      <c r="O111" s="59"/>
      <c r="P111" s="59"/>
      <c r="Q111" s="59"/>
      <c r="BE111" s="1005" t="str">
        <f>A79</f>
        <v>Expenses (100% through immediate)</v>
      </c>
      <c r="BF111" s="1006"/>
      <c r="BG111" s="1006"/>
      <c r="BH111" s="1006"/>
      <c r="BI111" s="1006"/>
      <c r="BJ111" s="1006"/>
      <c r="BK111" s="1006"/>
      <c r="BL111" s="1006"/>
      <c r="BM111" s="1006"/>
      <c r="BN111" s="1006"/>
      <c r="BO111" s="1006"/>
      <c r="BP111" s="1006"/>
      <c r="BS111" s="59"/>
      <c r="BT111" s="59"/>
      <c r="BU111" s="59"/>
      <c r="BV111" s="59"/>
      <c r="BW111" s="59"/>
      <c r="BX111" s="59"/>
      <c r="BY111" s="59"/>
      <c r="BZ111" s="59"/>
      <c r="CA111" s="59"/>
      <c r="CB111" s="59"/>
      <c r="CC111" s="59"/>
      <c r="CD111" s="59"/>
    </row>
    <row r="112" spans="1:82">
      <c r="A112" s="572" t="s">
        <v>548</v>
      </c>
      <c r="B112" s="572"/>
      <c r="C112" s="572"/>
      <c r="D112" s="572"/>
      <c r="E112" s="572">
        <f ca="1">D116</f>
        <v>2509500</v>
      </c>
      <c r="F112" s="572">
        <f ca="1">+E116</f>
        <v>2524138.75</v>
      </c>
      <c r="G112" s="572">
        <f t="shared" ref="G112" ca="1" si="381">+F116</f>
        <v>2538862.8927083332</v>
      </c>
      <c r="H112" s="572">
        <f t="shared" ref="H112" ca="1" si="382">+G116</f>
        <v>2553672.926249132</v>
      </c>
      <c r="I112" s="572">
        <f t="shared" ref="I112" ca="1" si="383">+H116</f>
        <v>2568569.351652252</v>
      </c>
      <c r="J112" s="572">
        <f t="shared" ref="J112" ca="1" si="384">+I116</f>
        <v>2583552.6728702234</v>
      </c>
      <c r="K112" s="572">
        <f t="shared" ref="K112" ca="1" si="385">+J116</f>
        <v>2598623.3967952998</v>
      </c>
      <c r="L112" s="572">
        <f t="shared" ref="L112" ca="1" si="386">+K116</f>
        <v>2613782.0332766059</v>
      </c>
      <c r="M112" s="572">
        <f t="shared" ref="M112" ca="1" si="387">+L116</f>
        <v>2629029.0951373861</v>
      </c>
      <c r="N112" s="572">
        <f t="shared" ref="N112" ca="1" si="388">+M116</f>
        <v>2644365.0981923542</v>
      </c>
      <c r="O112" s="572">
        <f t="shared" ref="O112" ca="1" si="389">+N116</f>
        <v>2659790.5612651431</v>
      </c>
      <c r="P112" s="572">
        <f t="shared" ref="P112" ca="1" si="390">+O116</f>
        <v>2675306.0062058563</v>
      </c>
      <c r="Q112" s="572">
        <f ca="1">D116</f>
        <v>2509500</v>
      </c>
      <c r="S112" s="572">
        <f ca="1">+P116</f>
        <v>2690911.957908724</v>
      </c>
      <c r="T112" s="572">
        <f ca="1">+S116</f>
        <v>2879275.7949623349</v>
      </c>
      <c r="U112" s="572">
        <f t="shared" ref="U112:AB112" ca="1" si="391">+T116</f>
        <v>3080825.1006096983</v>
      </c>
      <c r="V112" s="572">
        <f t="shared" ca="1" si="391"/>
        <v>3296482.8576523773</v>
      </c>
      <c r="W112" s="572">
        <f t="shared" ca="1" si="391"/>
        <v>3527236.657688044</v>
      </c>
      <c r="X112" s="572">
        <f t="shared" ca="1" si="391"/>
        <v>3774143.2237262074</v>
      </c>
      <c r="Y112" s="572">
        <f t="shared" ca="1" si="391"/>
        <v>4038333.2493870421</v>
      </c>
      <c r="Z112" s="572">
        <f t="shared" ca="1" si="391"/>
        <v>4331276.3629825925</v>
      </c>
      <c r="AA112" s="572">
        <f t="shared" ca="1" si="391"/>
        <v>4667465.4228608804</v>
      </c>
      <c r="AB112" s="572">
        <f t="shared" ca="1" si="391"/>
        <v>5028573.4518269356</v>
      </c>
      <c r="AC112" s="572">
        <f t="shared" ref="AC112" ca="1" si="392">+AB116</f>
        <v>5416397.2771948176</v>
      </c>
      <c r="AD112" s="572">
        <f t="shared" ref="AD112" ca="1" si="393">+AC116</f>
        <v>5832861.0627067639</v>
      </c>
      <c r="AE112" s="572">
        <f t="shared" ref="AE112" ca="1" si="394">+AD116</f>
        <v>6280025.2322592884</v>
      </c>
      <c r="AF112" s="572">
        <f t="shared" ref="AF112" ca="1" si="395">+AE116</f>
        <v>6760096.0144949257</v>
      </c>
      <c r="AG112" s="572">
        <f t="shared" ref="AG112" ca="1" si="396">+AF116</f>
        <v>7275435.6512570344</v>
      </c>
      <c r="AH112" s="572">
        <f t="shared" ref="AH112" ca="1" si="397">+AG116</f>
        <v>7828573.3158743661</v>
      </c>
      <c r="AI112" s="572">
        <f t="shared" ref="AI112" ca="1" si="398">+AH116</f>
        <v>8422216.7904161122</v>
      </c>
      <c r="AJ112" s="572">
        <f t="shared" ref="AJ112" ca="1" si="399">+AI116</f>
        <v>9059264.9544509724</v>
      </c>
      <c r="AK112" s="572">
        <f t="shared" ref="AK112" ca="1" si="400">+AJ116</f>
        <v>9742821.1414705366</v>
      </c>
      <c r="AL112" s="572">
        <f t="shared" ref="AL112" ca="1" si="401">+AK116</f>
        <v>10476207.423013994</v>
      </c>
      <c r="BE112" s="51" t="str">
        <f>BE$75</f>
        <v>January</v>
      </c>
      <c r="BF112" s="51" t="str">
        <f t="shared" ref="BF112:BP112" si="402">BF$75</f>
        <v>February</v>
      </c>
      <c r="BG112" s="51" t="str">
        <f t="shared" si="402"/>
        <v>March</v>
      </c>
      <c r="BH112" s="51" t="str">
        <f t="shared" si="402"/>
        <v>April</v>
      </c>
      <c r="BI112" s="51" t="str">
        <f t="shared" si="402"/>
        <v xml:space="preserve">May </v>
      </c>
      <c r="BJ112" s="51" t="str">
        <f t="shared" si="402"/>
        <v>June</v>
      </c>
      <c r="BK112" s="51" t="str">
        <f t="shared" si="402"/>
        <v>July</v>
      </c>
      <c r="BL112" s="51" t="str">
        <f t="shared" si="402"/>
        <v xml:space="preserve">August </v>
      </c>
      <c r="BM112" s="51" t="str">
        <f t="shared" si="402"/>
        <v>September</v>
      </c>
      <c r="BN112" s="51" t="str">
        <f t="shared" si="402"/>
        <v>October</v>
      </c>
      <c r="BO112" s="51" t="str">
        <f t="shared" si="402"/>
        <v>November</v>
      </c>
      <c r="BP112" s="51" t="str">
        <f t="shared" si="402"/>
        <v>December</v>
      </c>
      <c r="BS112" s="1005" t="s">
        <v>646</v>
      </c>
      <c r="BT112" s="1007"/>
      <c r="BU112" s="1007"/>
      <c r="BV112" s="1007"/>
      <c r="BW112" s="1007"/>
      <c r="BX112" s="1007"/>
      <c r="BY112" s="1007"/>
      <c r="BZ112" s="1007"/>
      <c r="CA112" s="1007"/>
      <c r="CB112" s="1007"/>
      <c r="CC112" s="1007"/>
      <c r="CD112" s="1007"/>
    </row>
    <row r="113" spans="1:82">
      <c r="A113" s="3" t="s">
        <v>447</v>
      </c>
      <c r="B113" s="11"/>
      <c r="D113" s="59"/>
      <c r="E113" s="170">
        <f>IF($C$71=1,OPTIMIZER!$X$27,0)</f>
        <v>0</v>
      </c>
      <c r="F113" s="170">
        <f>IF($C$71=1,OPTIMIZER!$X$27,0)</f>
        <v>0</v>
      </c>
      <c r="G113" s="170">
        <f>IF($C$71=1,OPTIMIZER!$X$27,0)</f>
        <v>0</v>
      </c>
      <c r="H113" s="170">
        <f>IF($C$71=1,OPTIMIZER!$X$27,0)</f>
        <v>0</v>
      </c>
      <c r="I113" s="170">
        <f>IF($C$71=1,OPTIMIZER!$X$27,0)</f>
        <v>0</v>
      </c>
      <c r="J113" s="170">
        <f>IF($C$71=1,OPTIMIZER!$X$27,0)</f>
        <v>0</v>
      </c>
      <c r="K113" s="170">
        <f>IF($C$71=1,OPTIMIZER!$X$27,0)</f>
        <v>0</v>
      </c>
      <c r="L113" s="170">
        <f>IF($C$71=1,OPTIMIZER!$X$27,0)</f>
        <v>0</v>
      </c>
      <c r="M113" s="170">
        <f>IF($C$71=1,OPTIMIZER!$X$27,0)</f>
        <v>0</v>
      </c>
      <c r="N113" s="170">
        <f>IF($C$71=1,OPTIMIZER!$X$27,0)</f>
        <v>0</v>
      </c>
      <c r="O113" s="170">
        <f>IF($C$71=1,OPTIMIZER!$X$27,0)</f>
        <v>0</v>
      </c>
      <c r="P113" s="170">
        <f>IF($C$71=1,OPTIMIZER!R27,0)</f>
        <v>0</v>
      </c>
      <c r="Q113" s="170">
        <f>IF($C$71=1,OPTIMIZER!$X$27,0)</f>
        <v>0</v>
      </c>
      <c r="S113" s="170">
        <f ca="1">1-S101-S89-S77</f>
        <v>0</v>
      </c>
      <c r="T113" s="170">
        <f ca="1">1-T101-T89-T77</f>
        <v>0</v>
      </c>
      <c r="U113" s="170">
        <f t="shared" ref="U113:AB113" ca="1" si="403">1-U101-U89-U77</f>
        <v>0</v>
      </c>
      <c r="V113" s="170">
        <f t="shared" ca="1" si="403"/>
        <v>0</v>
      </c>
      <c r="W113" s="170">
        <f t="shared" ca="1" si="403"/>
        <v>0</v>
      </c>
      <c r="X113" s="170">
        <f t="shared" ca="1" si="403"/>
        <v>0</v>
      </c>
      <c r="Y113" s="170">
        <f t="shared" ca="1" si="403"/>
        <v>1.6481439908249906E-2</v>
      </c>
      <c r="Z113" s="170">
        <f t="shared" ca="1" si="403"/>
        <v>5.0486786230359404E-2</v>
      </c>
      <c r="AA113" s="170">
        <f t="shared" ca="1" si="403"/>
        <v>5.0101756202706516E-2</v>
      </c>
      <c r="AB113" s="170">
        <f t="shared" ca="1" si="403"/>
        <v>4.9711765604293578E-2</v>
      </c>
      <c r="AC113" s="170">
        <f t="shared" ref="AC113:AL113" ca="1" si="404">1-AC101-AC89-AC77</f>
        <v>4.9316750525137842E-2</v>
      </c>
      <c r="AD113" s="170">
        <f t="shared" ca="1" si="404"/>
        <v>4.8916646231866867E-2</v>
      </c>
      <c r="AE113" s="170">
        <f t="shared" ca="1" si="404"/>
        <v>4.8511387157109453E-2</v>
      </c>
      <c r="AF113" s="170">
        <f t="shared" ca="1" si="404"/>
        <v>4.8100906888750683E-2</v>
      </c>
      <c r="AG113" s="170">
        <f t="shared" ca="1" si="404"/>
        <v>4.7685138159049845E-2</v>
      </c>
      <c r="AH113" s="170">
        <f t="shared" ca="1" si="404"/>
        <v>4.726401283361481E-2</v>
      </c>
      <c r="AI113" s="170">
        <f t="shared" ca="1" si="404"/>
        <v>4.6837461900238186E-2</v>
      </c>
      <c r="AJ113" s="170">
        <f t="shared" ca="1" si="404"/>
        <v>4.640541545758714E-2</v>
      </c>
      <c r="AK113" s="170">
        <f t="shared" ca="1" si="404"/>
        <v>4.5967802703748228E-2</v>
      </c>
      <c r="AL113" s="170">
        <f t="shared" ca="1" si="404"/>
        <v>4.5524551924625456E-2</v>
      </c>
      <c r="BD113" s="44" t="s">
        <v>476</v>
      </c>
      <c r="BE113" s="161">
        <f t="shared" ref="BE113:BP113" si="405">E79</f>
        <v>-38439.42</v>
      </c>
      <c r="BF113" s="161">
        <f t="shared" si="405"/>
        <v>-20939.419999999991</v>
      </c>
      <c r="BG113" s="161">
        <f t="shared" si="405"/>
        <v>-20939.419999999991</v>
      </c>
      <c r="BH113" s="161">
        <f t="shared" si="405"/>
        <v>-65939.42</v>
      </c>
      <c r="BI113" s="161">
        <f t="shared" si="405"/>
        <v>-24939.419999999991</v>
      </c>
      <c r="BJ113" s="161">
        <f t="shared" si="405"/>
        <v>-21939.419999999991</v>
      </c>
      <c r="BK113" s="161">
        <f t="shared" si="405"/>
        <v>-40439.42</v>
      </c>
      <c r="BL113" s="161">
        <f t="shared" si="405"/>
        <v>-35939.419999999991</v>
      </c>
      <c r="BM113" s="161">
        <f t="shared" si="405"/>
        <v>-20939.419999999991</v>
      </c>
      <c r="BN113" s="161">
        <f t="shared" si="405"/>
        <v>-20939.419999999991</v>
      </c>
      <c r="BO113" s="161">
        <f t="shared" si="405"/>
        <v>-24939.419999999991</v>
      </c>
      <c r="BP113" s="161">
        <f t="shared" si="405"/>
        <v>-48392.38</v>
      </c>
      <c r="BS113" s="51" t="str">
        <f t="shared" ref="BS113:CD113" si="406">BE$75</f>
        <v>January</v>
      </c>
      <c r="BT113" s="51" t="str">
        <f t="shared" si="406"/>
        <v>February</v>
      </c>
      <c r="BU113" s="51" t="str">
        <f t="shared" si="406"/>
        <v>March</v>
      </c>
      <c r="BV113" s="51" t="str">
        <f t="shared" si="406"/>
        <v>April</v>
      </c>
      <c r="BW113" s="51" t="str">
        <f t="shared" si="406"/>
        <v xml:space="preserve">May </v>
      </c>
      <c r="BX113" s="51" t="str">
        <f t="shared" si="406"/>
        <v>June</v>
      </c>
      <c r="BY113" s="51" t="str">
        <f t="shared" si="406"/>
        <v>July</v>
      </c>
      <c r="BZ113" s="51" t="str">
        <f t="shared" si="406"/>
        <v xml:space="preserve">August </v>
      </c>
      <c r="CA113" s="51" t="str">
        <f t="shared" si="406"/>
        <v>September</v>
      </c>
      <c r="CB113" s="51" t="str">
        <f t="shared" si="406"/>
        <v>October</v>
      </c>
      <c r="CC113" s="51" t="str">
        <f t="shared" si="406"/>
        <v>November</v>
      </c>
      <c r="CD113" s="51" t="str">
        <f t="shared" si="406"/>
        <v>December</v>
      </c>
    </row>
    <row r="114" spans="1:82">
      <c r="A114" s="2" t="s">
        <v>448</v>
      </c>
      <c r="B114" s="11"/>
      <c r="E114" s="59">
        <f>E113*E$10</f>
        <v>0</v>
      </c>
      <c r="F114" s="59">
        <f t="shared" ref="F114:P114" si="407">F113*F$10</f>
        <v>0</v>
      </c>
      <c r="G114" s="59">
        <f t="shared" si="407"/>
        <v>0</v>
      </c>
      <c r="H114" s="59">
        <f t="shared" si="407"/>
        <v>0</v>
      </c>
      <c r="I114" s="59">
        <f t="shared" si="407"/>
        <v>0</v>
      </c>
      <c r="J114" s="59">
        <f t="shared" si="407"/>
        <v>0</v>
      </c>
      <c r="K114" s="59">
        <f t="shared" si="407"/>
        <v>0</v>
      </c>
      <c r="L114" s="59">
        <f t="shared" si="407"/>
        <v>0</v>
      </c>
      <c r="M114" s="59">
        <f t="shared" si="407"/>
        <v>0</v>
      </c>
      <c r="N114" s="59">
        <f t="shared" si="407"/>
        <v>0</v>
      </c>
      <c r="O114" s="59">
        <f t="shared" si="407"/>
        <v>0</v>
      </c>
      <c r="P114" s="59">
        <f t="shared" si="407"/>
        <v>0</v>
      </c>
      <c r="Q114" s="59">
        <f>+SUM(E114:P114)</f>
        <v>0</v>
      </c>
      <c r="S114" s="59">
        <f t="shared" ref="S114:T114" ca="1" si="408">S113*S$10</f>
        <v>0</v>
      </c>
      <c r="T114" s="59">
        <f t="shared" ca="1" si="408"/>
        <v>0</v>
      </c>
      <c r="U114" s="59">
        <f t="shared" ref="U114:AB114" ca="1" si="409">U113*U$10</f>
        <v>0</v>
      </c>
      <c r="V114" s="59">
        <f t="shared" ca="1" si="409"/>
        <v>0</v>
      </c>
      <c r="W114" s="59">
        <f t="shared" ca="1" si="409"/>
        <v>0</v>
      </c>
      <c r="X114" s="59">
        <f t="shared" ca="1" si="409"/>
        <v>0</v>
      </c>
      <c r="Y114" s="59">
        <f t="shared" ca="1" si="409"/>
        <v>10259.786138457393</v>
      </c>
      <c r="Z114" s="59">
        <f t="shared" ca="1" si="409"/>
        <v>32999.714469506616</v>
      </c>
      <c r="AA114" s="59">
        <f t="shared" ca="1" si="409"/>
        <v>34385.449365793313</v>
      </c>
      <c r="AB114" s="59">
        <f t="shared" ca="1" si="409"/>
        <v>35823.683739996253</v>
      </c>
      <c r="AC114" s="59">
        <f t="shared" ref="AC114:AL114" ca="1" si="410">AC113*AC$10</f>
        <v>37315.976108308947</v>
      </c>
      <c r="AD114" s="59">
        <f t="shared" ca="1" si="410"/>
        <v>38863.895163050896</v>
      </c>
      <c r="AE114" s="59">
        <f t="shared" ca="1" si="410"/>
        <v>40469.01597748659</v>
      </c>
      <c r="AF114" s="59">
        <f t="shared" ca="1" si="410"/>
        <v>42132.915747463361</v>
      </c>
      <c r="AG114" s="59">
        <f t="shared" ca="1" si="410"/>
        <v>43857.169029339653</v>
      </c>
      <c r="AH114" s="59">
        <f t="shared" ca="1" si="410"/>
        <v>45643.342430540797</v>
      </c>
      <c r="AI114" s="59">
        <f t="shared" ca="1" si="410"/>
        <v>47492.988705732801</v>
      </c>
      <c r="AJ114" s="59">
        <f t="shared" ca="1" si="410"/>
        <v>49407.640207994657</v>
      </c>
      <c r="AK114" s="59">
        <f t="shared" ca="1" si="410"/>
        <v>51388.801640519006</v>
      </c>
      <c r="AL114" s="59">
        <f t="shared" ca="1" si="410"/>
        <v>53437.942050234051</v>
      </c>
      <c r="BD114">
        <v>0</v>
      </c>
      <c r="BE114" s="756">
        <f t="dataTable" ref="BE114:BP115" dt2D="0" dtr="0" r1="C71"/>
        <v>-38439.42</v>
      </c>
      <c r="BF114" s="756">
        <v>-20939.419999999991</v>
      </c>
      <c r="BG114" s="756">
        <v>-20939.419999999991</v>
      </c>
      <c r="BH114" s="756">
        <v>-65939.42</v>
      </c>
      <c r="BI114" s="756">
        <v>-24939.419999999991</v>
      </c>
      <c r="BJ114" s="756">
        <v>-21939.419999999991</v>
      </c>
      <c r="BK114" s="756">
        <v>-40439.42</v>
      </c>
      <c r="BL114" s="756">
        <v>-35939.419999999991</v>
      </c>
      <c r="BM114" s="756">
        <v>-20939.419999999991</v>
      </c>
      <c r="BN114" s="756">
        <v>-20939.419999999991</v>
      </c>
      <c r="BO114" s="756">
        <v>-24939.419999999991</v>
      </c>
      <c r="BP114" s="756">
        <v>-48392.38</v>
      </c>
      <c r="BR114" s="44" t="s">
        <v>476</v>
      </c>
      <c r="BS114" s="161">
        <f t="shared" ref="BS114:CD114" ca="1" si="411">E108</f>
        <v>288.84375</v>
      </c>
      <c r="BT114" s="161">
        <f t="shared" ca="1" si="411"/>
        <v>289.46175532692712</v>
      </c>
      <c r="BU114" s="161">
        <f t="shared" ca="1" si="411"/>
        <v>290.08108297554253</v>
      </c>
      <c r="BV114" s="161">
        <f t="shared" ca="1" si="411"/>
        <v>290.70173569199574</v>
      </c>
      <c r="BW114" s="161">
        <f t="shared" ca="1" si="411"/>
        <v>291.32371626068306</v>
      </c>
      <c r="BX114" s="161">
        <f t="shared" ca="1" si="411"/>
        <v>291.94702757302053</v>
      </c>
      <c r="BY114" s="161">
        <f t="shared" ca="1" si="411"/>
        <v>292.57167252053904</v>
      </c>
      <c r="BZ114" s="161">
        <f t="shared" ca="1" si="411"/>
        <v>293.19765399476944</v>
      </c>
      <c r="CA114" s="161">
        <f t="shared" ca="1" si="411"/>
        <v>293.82497488724226</v>
      </c>
      <c r="CB114" s="161">
        <f t="shared" ca="1" si="411"/>
        <v>294.45363798250958</v>
      </c>
      <c r="CC114" s="161">
        <f t="shared" ca="1" si="411"/>
        <v>295.08364606500839</v>
      </c>
      <c r="CD114" s="161">
        <f t="shared" ca="1" si="411"/>
        <v>295.71500202615499</v>
      </c>
    </row>
    <row r="115" spans="1:82">
      <c r="A115" s="2" t="s">
        <v>114</v>
      </c>
      <c r="D115" s="484">
        <v>7.0000000000000007E-2</v>
      </c>
      <c r="E115" s="561">
        <f>+D115/12</f>
        <v>5.8333333333333336E-3</v>
      </c>
      <c r="F115" s="170">
        <f>+E115</f>
        <v>5.8333333333333336E-3</v>
      </c>
      <c r="G115" s="170">
        <f t="shared" ref="G115:P115" si="412">+F115</f>
        <v>5.8333333333333336E-3</v>
      </c>
      <c r="H115" s="170">
        <f t="shared" si="412"/>
        <v>5.8333333333333336E-3</v>
      </c>
      <c r="I115" s="170">
        <f t="shared" si="412"/>
        <v>5.8333333333333336E-3</v>
      </c>
      <c r="J115" s="170">
        <f t="shared" si="412"/>
        <v>5.8333333333333336E-3</v>
      </c>
      <c r="K115" s="170">
        <f t="shared" si="412"/>
        <v>5.8333333333333336E-3</v>
      </c>
      <c r="L115" s="170">
        <f t="shared" si="412"/>
        <v>5.8333333333333336E-3</v>
      </c>
      <c r="M115" s="170">
        <f t="shared" si="412"/>
        <v>5.8333333333333336E-3</v>
      </c>
      <c r="N115" s="170">
        <f t="shared" si="412"/>
        <v>5.8333333333333336E-3</v>
      </c>
      <c r="O115" s="170">
        <f t="shared" si="412"/>
        <v>5.8333333333333336E-3</v>
      </c>
      <c r="P115" s="170">
        <f t="shared" si="412"/>
        <v>5.8333333333333336E-3</v>
      </c>
      <c r="Q115" s="170">
        <f>+E115*12</f>
        <v>7.0000000000000007E-2</v>
      </c>
      <c r="S115" s="170">
        <f>+Q115</f>
        <v>7.0000000000000007E-2</v>
      </c>
      <c r="T115" s="170">
        <f>+S115</f>
        <v>7.0000000000000007E-2</v>
      </c>
      <c r="U115" s="170">
        <f t="shared" ref="U115:AB115" si="413">+T115</f>
        <v>7.0000000000000007E-2</v>
      </c>
      <c r="V115" s="170">
        <f t="shared" si="413"/>
        <v>7.0000000000000007E-2</v>
      </c>
      <c r="W115" s="170">
        <f t="shared" si="413"/>
        <v>7.0000000000000007E-2</v>
      </c>
      <c r="X115" s="170">
        <f t="shared" si="413"/>
        <v>7.0000000000000007E-2</v>
      </c>
      <c r="Y115" s="170">
        <f t="shared" si="413"/>
        <v>7.0000000000000007E-2</v>
      </c>
      <c r="Z115" s="170">
        <f t="shared" si="413"/>
        <v>7.0000000000000007E-2</v>
      </c>
      <c r="AA115" s="170">
        <f t="shared" si="413"/>
        <v>7.0000000000000007E-2</v>
      </c>
      <c r="AB115" s="170">
        <f t="shared" si="413"/>
        <v>7.0000000000000007E-2</v>
      </c>
      <c r="AC115" s="170">
        <f t="shared" ref="AC115" si="414">+AB115</f>
        <v>7.0000000000000007E-2</v>
      </c>
      <c r="AD115" s="170">
        <f t="shared" ref="AD115" si="415">+AC115</f>
        <v>7.0000000000000007E-2</v>
      </c>
      <c r="AE115" s="170">
        <f t="shared" ref="AE115" si="416">+AD115</f>
        <v>7.0000000000000007E-2</v>
      </c>
      <c r="AF115" s="170">
        <f t="shared" ref="AF115" si="417">+AE115</f>
        <v>7.0000000000000007E-2</v>
      </c>
      <c r="AG115" s="170">
        <f t="shared" ref="AG115" si="418">+AF115</f>
        <v>7.0000000000000007E-2</v>
      </c>
      <c r="AH115" s="170">
        <f t="shared" ref="AH115" si="419">+AG115</f>
        <v>7.0000000000000007E-2</v>
      </c>
      <c r="AI115" s="170">
        <f t="shared" ref="AI115" si="420">+AH115</f>
        <v>7.0000000000000007E-2</v>
      </c>
      <c r="AJ115" s="170">
        <f t="shared" ref="AJ115" si="421">+AI115</f>
        <v>7.0000000000000007E-2</v>
      </c>
      <c r="AK115" s="170">
        <f t="shared" ref="AK115" si="422">+AJ115</f>
        <v>7.0000000000000007E-2</v>
      </c>
      <c r="AL115" s="170">
        <f t="shared" ref="AL115" si="423">+AK115</f>
        <v>7.0000000000000007E-2</v>
      </c>
      <c r="BD115">
        <v>1</v>
      </c>
      <c r="BE115" s="756">
        <v>-38439.42</v>
      </c>
      <c r="BF115" s="756">
        <v>-20939.419999999991</v>
      </c>
      <c r="BG115" s="756">
        <v>-20939.419999999991</v>
      </c>
      <c r="BH115" s="756">
        <v>-65939.42</v>
      </c>
      <c r="BI115" s="756">
        <v>-24939.419999999991</v>
      </c>
      <c r="BJ115" s="756">
        <v>-21939.419999999991</v>
      </c>
      <c r="BK115" s="756">
        <v>-40439.42</v>
      </c>
      <c r="BL115" s="756">
        <v>-35939.419999999991</v>
      </c>
      <c r="BM115" s="756">
        <v>-20939.419999999991</v>
      </c>
      <c r="BN115" s="756">
        <v>-20939.419999999991</v>
      </c>
      <c r="BO115" s="756">
        <v>-24939.419999999991</v>
      </c>
      <c r="BP115" s="756">
        <v>-48392.38</v>
      </c>
      <c r="BR115">
        <v>0</v>
      </c>
      <c r="BS115" s="844">
        <f t="dataTable" ref="BS115:CD116" dt2D="0" dtr="0" r1="C71" ca="1"/>
        <v>288.84375</v>
      </c>
      <c r="BT115" s="844">
        <v>289.46175532692712</v>
      </c>
      <c r="BU115" s="844">
        <v>290.08108297554253</v>
      </c>
      <c r="BV115" s="844">
        <v>290.70173569199574</v>
      </c>
      <c r="BW115" s="844">
        <v>291.32371626068306</v>
      </c>
      <c r="BX115" s="844">
        <v>291.94702757302053</v>
      </c>
      <c r="BY115" s="844">
        <v>292.57167252053904</v>
      </c>
      <c r="BZ115" s="844">
        <v>293.19765399476944</v>
      </c>
      <c r="CA115" s="844">
        <v>293.82497488724226</v>
      </c>
      <c r="CB115" s="844">
        <v>294.45363798250958</v>
      </c>
      <c r="CC115" s="844">
        <v>295.08364606500839</v>
      </c>
      <c r="CD115" s="844">
        <v>295.71500202615499</v>
      </c>
    </row>
    <row r="116" spans="1:82">
      <c r="A116" s="572" t="s">
        <v>549</v>
      </c>
      <c r="B116" s="572"/>
      <c r="C116" s="572"/>
      <c r="D116" s="575">
        <f ca="1">IF(C71=1,OPTIMIZER!G27,OPTIMIZER!E27)</f>
        <v>2509500</v>
      </c>
      <c r="E116" s="572">
        <f ca="1">+E112*(1+E115)+E114</f>
        <v>2524138.75</v>
      </c>
      <c r="F116" s="572">
        <f t="shared" ref="F116:P116" ca="1" si="424">+F112*(1+F115)+F114</f>
        <v>2538862.8927083332</v>
      </c>
      <c r="G116" s="572">
        <f t="shared" ca="1" si="424"/>
        <v>2553672.926249132</v>
      </c>
      <c r="H116" s="572">
        <f t="shared" ca="1" si="424"/>
        <v>2568569.351652252</v>
      </c>
      <c r="I116" s="572">
        <f t="shared" ca="1" si="424"/>
        <v>2583552.6728702234</v>
      </c>
      <c r="J116" s="572">
        <f t="shared" ca="1" si="424"/>
        <v>2598623.3967952998</v>
      </c>
      <c r="K116" s="572">
        <f t="shared" ca="1" si="424"/>
        <v>2613782.0332766059</v>
      </c>
      <c r="L116" s="572">
        <f t="shared" ca="1" si="424"/>
        <v>2629029.0951373861</v>
      </c>
      <c r="M116" s="572">
        <f t="shared" ca="1" si="424"/>
        <v>2644365.0981923542</v>
      </c>
      <c r="N116" s="572">
        <f t="shared" ca="1" si="424"/>
        <v>2659790.5612651431</v>
      </c>
      <c r="O116" s="572">
        <f t="shared" ca="1" si="424"/>
        <v>2675306.0062058563</v>
      </c>
      <c r="P116" s="572">
        <f t="shared" ca="1" si="424"/>
        <v>2690911.957908724</v>
      </c>
      <c r="Q116" s="572">
        <f ca="1">+P116</f>
        <v>2690911.957908724</v>
      </c>
      <c r="S116" s="572">
        <f t="shared" ref="S116:T116" ca="1" si="425">+S112*(1+S115)+S114</f>
        <v>2879275.7949623349</v>
      </c>
      <c r="T116" s="572">
        <f t="shared" ca="1" si="425"/>
        <v>3080825.1006096983</v>
      </c>
      <c r="U116" s="572">
        <f t="shared" ref="U116:AB116" ca="1" si="426">+U112*(1+U115)+U114</f>
        <v>3296482.8576523773</v>
      </c>
      <c r="V116" s="572">
        <f t="shared" ca="1" si="426"/>
        <v>3527236.657688044</v>
      </c>
      <c r="W116" s="572">
        <f t="shared" ca="1" si="426"/>
        <v>3774143.2237262074</v>
      </c>
      <c r="X116" s="572">
        <f t="shared" ca="1" si="426"/>
        <v>4038333.2493870421</v>
      </c>
      <c r="Y116" s="572">
        <f t="shared" ca="1" si="426"/>
        <v>4331276.3629825925</v>
      </c>
      <c r="Z116" s="572">
        <f t="shared" ca="1" si="426"/>
        <v>4667465.4228608804</v>
      </c>
      <c r="AA116" s="572">
        <f t="shared" ca="1" si="426"/>
        <v>5028573.4518269356</v>
      </c>
      <c r="AB116" s="572">
        <f t="shared" ca="1" si="426"/>
        <v>5416397.2771948176</v>
      </c>
      <c r="AC116" s="572">
        <f t="shared" ref="AC116:AL116" ca="1" si="427">+AC112*(1+AC115)+AC114</f>
        <v>5832861.0627067639</v>
      </c>
      <c r="AD116" s="572">
        <f t="shared" ca="1" si="427"/>
        <v>6280025.2322592884</v>
      </c>
      <c r="AE116" s="572">
        <f t="shared" ca="1" si="427"/>
        <v>6760096.0144949257</v>
      </c>
      <c r="AF116" s="572">
        <f t="shared" ca="1" si="427"/>
        <v>7275435.6512570344</v>
      </c>
      <c r="AG116" s="572">
        <f t="shared" ca="1" si="427"/>
        <v>7828573.3158743661</v>
      </c>
      <c r="AH116" s="572">
        <f t="shared" ca="1" si="427"/>
        <v>8422216.7904161122</v>
      </c>
      <c r="AI116" s="572">
        <f t="shared" ca="1" si="427"/>
        <v>9059264.9544509724</v>
      </c>
      <c r="AJ116" s="572">
        <f t="shared" ca="1" si="427"/>
        <v>9742821.1414705366</v>
      </c>
      <c r="AK116" s="572">
        <f t="shared" ca="1" si="427"/>
        <v>10476207.423013994</v>
      </c>
      <c r="AL116" s="572">
        <f t="shared" ca="1" si="427"/>
        <v>11262979.884675208</v>
      </c>
      <c r="BP116" s="756"/>
      <c r="BR116">
        <v>1</v>
      </c>
      <c r="BS116" s="844">
        <v>288.84375</v>
      </c>
      <c r="BT116" s="844">
        <v>289.46175532692712</v>
      </c>
      <c r="BU116" s="844">
        <v>290.08108297554253</v>
      </c>
      <c r="BV116" s="844">
        <v>290.70173569199574</v>
      </c>
      <c r="BW116" s="844">
        <v>291.32371626068306</v>
      </c>
      <c r="BX116" s="844">
        <v>291.94702757302053</v>
      </c>
      <c r="BY116" s="844">
        <v>292.57167252053904</v>
      </c>
      <c r="BZ116" s="844">
        <v>293.19765399476944</v>
      </c>
      <c r="CA116" s="844">
        <v>293.82497488724226</v>
      </c>
      <c r="CB116" s="844">
        <v>294.45363798250958</v>
      </c>
      <c r="CC116" s="844">
        <v>295.08364606500839</v>
      </c>
      <c r="CD116" s="844">
        <v>295.71500202615499</v>
      </c>
    </row>
    <row r="117" spans="1:82">
      <c r="F117" s="263"/>
      <c r="G117" s="263"/>
      <c r="H117" s="263"/>
      <c r="I117" s="263"/>
      <c r="J117" s="263"/>
      <c r="K117" s="263"/>
      <c r="L117" s="263"/>
      <c r="M117" s="263"/>
      <c r="N117" s="263"/>
      <c r="O117" s="263"/>
      <c r="P117" s="263"/>
      <c r="Q117" s="263"/>
      <c r="BP117" s="756"/>
      <c r="BS117" s="59"/>
      <c r="BT117" s="59"/>
      <c r="BU117" s="59"/>
      <c r="BV117" s="59"/>
      <c r="BW117" s="59"/>
      <c r="BX117" s="59"/>
      <c r="BY117" s="59"/>
      <c r="BZ117" s="59"/>
      <c r="CA117" s="59"/>
      <c r="CB117" s="59"/>
      <c r="CC117" s="59"/>
      <c r="CD117" s="59"/>
    </row>
    <row r="118" spans="1:82">
      <c r="A118" s="572" t="s">
        <v>580</v>
      </c>
      <c r="B118" s="572"/>
      <c r="C118" s="572"/>
      <c r="D118" s="575">
        <f>IF(C74=1,OPTIMIZER!G28,OPTIMIZER!E28)</f>
        <v>2980000</v>
      </c>
      <c r="E118" s="572">
        <f>+D118</f>
        <v>2980000</v>
      </c>
      <c r="F118" s="572">
        <f t="shared" ref="F118:Q118" si="428">+E118</f>
        <v>2980000</v>
      </c>
      <c r="G118" s="572">
        <f t="shared" si="428"/>
        <v>2980000</v>
      </c>
      <c r="H118" s="572">
        <f t="shared" si="428"/>
        <v>2980000</v>
      </c>
      <c r="I118" s="572">
        <f t="shared" si="428"/>
        <v>2980000</v>
      </c>
      <c r="J118" s="572">
        <f t="shared" si="428"/>
        <v>2980000</v>
      </c>
      <c r="K118" s="572">
        <f t="shared" si="428"/>
        <v>2980000</v>
      </c>
      <c r="L118" s="572">
        <f t="shared" si="428"/>
        <v>2980000</v>
      </c>
      <c r="M118" s="572">
        <f t="shared" si="428"/>
        <v>2980000</v>
      </c>
      <c r="N118" s="572">
        <f t="shared" si="428"/>
        <v>2980000</v>
      </c>
      <c r="O118" s="572">
        <f t="shared" si="428"/>
        <v>2980000</v>
      </c>
      <c r="P118" s="572">
        <f t="shared" si="428"/>
        <v>2980000</v>
      </c>
      <c r="Q118" s="572">
        <f t="shared" si="428"/>
        <v>2980000</v>
      </c>
      <c r="S118" s="572">
        <f>+Q118*(1+S119)</f>
        <v>3069400</v>
      </c>
      <c r="T118" s="572">
        <f>+S118*(1+T119)</f>
        <v>3161482</v>
      </c>
      <c r="U118" s="572">
        <f t="shared" ref="U118:AB118" si="429">+T118*(1+U119)</f>
        <v>3256326.46</v>
      </c>
      <c r="V118" s="572">
        <f t="shared" si="429"/>
        <v>3354016.2538000001</v>
      </c>
      <c r="W118" s="572">
        <f t="shared" si="429"/>
        <v>3454636.7414140003</v>
      </c>
      <c r="X118" s="572">
        <f t="shared" si="429"/>
        <v>3558275.8436564202</v>
      </c>
      <c r="Y118" s="572">
        <f t="shared" si="429"/>
        <v>3665024.1189661128</v>
      </c>
      <c r="Z118" s="572">
        <f t="shared" si="429"/>
        <v>3774974.8425350962</v>
      </c>
      <c r="AA118" s="572">
        <f t="shared" si="429"/>
        <v>3888224.0878111492</v>
      </c>
      <c r="AB118" s="572">
        <f t="shared" si="429"/>
        <v>4004870.8104454838</v>
      </c>
      <c r="AC118" s="572">
        <f t="shared" ref="AC118" si="430">+AB118*(1+AC119)</f>
        <v>4125016.9347588485</v>
      </c>
      <c r="AD118" s="572">
        <f t="shared" ref="AD118" si="431">+AC118*(1+AD119)</f>
        <v>4248767.4428016143</v>
      </c>
      <c r="AE118" s="572">
        <f t="shared" ref="AE118" si="432">+AD118*(1+AE119)</f>
        <v>4376230.4660856631</v>
      </c>
      <c r="AF118" s="572">
        <f t="shared" ref="AF118" si="433">+AE118*(1+AF119)</f>
        <v>4507517.3800682332</v>
      </c>
      <c r="AG118" s="572">
        <f t="shared" ref="AG118" si="434">+AF118*(1+AG119)</f>
        <v>4642742.9014702803</v>
      </c>
      <c r="AH118" s="572">
        <f t="shared" ref="AH118" si="435">+AG118*(1+AH119)</f>
        <v>4782025.1885143891</v>
      </c>
      <c r="AI118" s="572">
        <f t="shared" ref="AI118" si="436">+AH118*(1+AI119)</f>
        <v>4925485.9441698212</v>
      </c>
      <c r="AJ118" s="572">
        <f t="shared" ref="AJ118" si="437">+AI118*(1+AJ119)</f>
        <v>5073250.5224949159</v>
      </c>
      <c r="AK118" s="572">
        <f t="shared" ref="AK118" si="438">+AJ118*(1+AK119)</f>
        <v>5225448.0381697631</v>
      </c>
      <c r="AL118" s="572">
        <f t="shared" ref="AL118" si="439">+AK118*(1+AL119)</f>
        <v>5382211.4793148562</v>
      </c>
      <c r="BE118" s="1005" t="s">
        <v>738</v>
      </c>
      <c r="BF118" s="1006"/>
      <c r="BG118" s="1006"/>
      <c r="BH118" s="1006"/>
      <c r="BI118" s="1006"/>
      <c r="BJ118" s="1006"/>
      <c r="BK118" s="1006"/>
      <c r="BL118" s="1006"/>
      <c r="BM118" s="1006"/>
      <c r="BN118" s="1006"/>
      <c r="BO118" s="1006"/>
      <c r="BP118" s="1006"/>
      <c r="BS118" s="1005" t="s">
        <v>646</v>
      </c>
      <c r="BT118" s="1007"/>
      <c r="BU118" s="1007"/>
      <c r="BV118" s="1007"/>
      <c r="BW118" s="1007"/>
      <c r="BX118" s="1007"/>
      <c r="BY118" s="1007"/>
      <c r="BZ118" s="1007"/>
      <c r="CA118" s="1007"/>
      <c r="CB118" s="1007"/>
      <c r="CC118" s="1007"/>
      <c r="CD118" s="1007"/>
    </row>
    <row r="119" spans="1:82">
      <c r="E119" s="59"/>
      <c r="F119" s="59"/>
      <c r="G119" s="59"/>
      <c r="H119" s="59"/>
      <c r="I119" s="59"/>
      <c r="J119" s="59"/>
      <c r="K119" s="59"/>
      <c r="L119" s="59"/>
      <c r="M119" s="59"/>
      <c r="N119" s="59"/>
      <c r="O119" s="59"/>
      <c r="P119" s="59"/>
      <c r="Q119" s="59"/>
      <c r="R119" t="s">
        <v>736</v>
      </c>
      <c r="S119" s="1008">
        <v>0.03</v>
      </c>
      <c r="T119" s="1008">
        <v>0.03</v>
      </c>
      <c r="U119" s="1008">
        <v>0.03</v>
      </c>
      <c r="V119" s="1008">
        <v>0.03</v>
      </c>
      <c r="W119" s="1008">
        <v>0.03</v>
      </c>
      <c r="X119" s="1008">
        <v>0.03</v>
      </c>
      <c r="Y119" s="1008">
        <v>0.03</v>
      </c>
      <c r="Z119" s="1008">
        <v>0.03</v>
      </c>
      <c r="AA119" s="1008">
        <v>0.03</v>
      </c>
      <c r="AB119" s="1008">
        <v>0.03</v>
      </c>
      <c r="AC119" s="1008">
        <v>0.03</v>
      </c>
      <c r="AD119" s="1008">
        <v>0.03</v>
      </c>
      <c r="AE119" s="1008">
        <v>0.03</v>
      </c>
      <c r="AF119" s="1008">
        <v>0.03</v>
      </c>
      <c r="AG119" s="1008">
        <v>0.03</v>
      </c>
      <c r="AH119" s="1008">
        <v>0.03</v>
      </c>
      <c r="AI119" s="1008">
        <v>0.03</v>
      </c>
      <c r="AJ119" s="1008">
        <v>0.03</v>
      </c>
      <c r="AK119" s="1008">
        <v>0.03</v>
      </c>
      <c r="AL119" s="1008">
        <v>0.03</v>
      </c>
      <c r="BE119" s="51">
        <f>+BF119-1</f>
        <v>2025</v>
      </c>
      <c r="BF119" s="51">
        <f>+$S$5</f>
        <v>2026</v>
      </c>
      <c r="BG119" s="51">
        <f>+$T$5</f>
        <v>2027</v>
      </c>
      <c r="BH119" s="51">
        <f>+$U$5</f>
        <v>2028</v>
      </c>
      <c r="BI119" s="51">
        <f>+$V$5</f>
        <v>2029</v>
      </c>
      <c r="BJ119" s="51">
        <f>+$W$5</f>
        <v>2030</v>
      </c>
      <c r="BK119" s="51">
        <f>+$X$5</f>
        <v>2031</v>
      </c>
      <c r="BL119" s="51">
        <f>+$Y$5</f>
        <v>2032</v>
      </c>
      <c r="BM119" s="51">
        <f>+$Z$5</f>
        <v>2033</v>
      </c>
      <c r="BN119" s="51">
        <f>+$AA$5</f>
        <v>2034</v>
      </c>
      <c r="BO119" s="51">
        <f>+$AB$5</f>
        <v>2035</v>
      </c>
      <c r="BP119" s="51">
        <f>+$AG$5</f>
        <v>2040</v>
      </c>
      <c r="BS119" s="51">
        <f>+BT119-1</f>
        <v>2025</v>
      </c>
      <c r="BT119" s="51">
        <f>+$S$5</f>
        <v>2026</v>
      </c>
      <c r="BU119" s="51">
        <f>+$T$5</f>
        <v>2027</v>
      </c>
      <c r="BV119" s="51">
        <f>+$U$5</f>
        <v>2028</v>
      </c>
      <c r="BW119" s="51">
        <f>+$V$5</f>
        <v>2029</v>
      </c>
      <c r="BX119" s="51">
        <f>+$W$5</f>
        <v>2030</v>
      </c>
      <c r="BY119" s="51">
        <f>+$X$5</f>
        <v>2031</v>
      </c>
      <c r="BZ119" s="51">
        <f>+$Y$5</f>
        <v>2032</v>
      </c>
      <c r="CA119" s="51">
        <f>+$Z$5</f>
        <v>2033</v>
      </c>
      <c r="CB119" s="51">
        <f>+$AA$5</f>
        <v>2034</v>
      </c>
      <c r="CC119" s="51">
        <f>+$AB$5</f>
        <v>2035</v>
      </c>
      <c r="CD119" s="51">
        <f>+$AC$5</f>
        <v>2036</v>
      </c>
    </row>
    <row r="120" spans="1:82">
      <c r="A120" s="572" t="s">
        <v>586</v>
      </c>
      <c r="B120" s="572"/>
      <c r="C120" s="572"/>
      <c r="D120" s="572"/>
      <c r="E120" s="572"/>
      <c r="F120" s="572"/>
      <c r="G120" s="572"/>
      <c r="H120" s="572"/>
      <c r="I120" s="572"/>
      <c r="J120" s="572"/>
      <c r="K120" s="572"/>
      <c r="L120" s="572"/>
      <c r="M120" s="572"/>
      <c r="N120" s="572"/>
      <c r="O120" s="572"/>
      <c r="P120" s="572"/>
      <c r="Q120" s="572"/>
      <c r="S120" s="572"/>
      <c r="T120" s="572"/>
      <c r="U120" s="572"/>
      <c r="V120" s="572"/>
      <c r="W120" s="572"/>
      <c r="X120" s="572"/>
      <c r="Y120" s="572"/>
      <c r="Z120" s="572"/>
      <c r="AA120" s="572"/>
      <c r="AB120" s="572"/>
      <c r="AC120" s="572"/>
      <c r="AD120" s="572"/>
      <c r="AE120" s="572"/>
      <c r="AF120" s="572"/>
      <c r="AG120" s="572"/>
      <c r="AH120" s="572"/>
      <c r="AI120" s="572"/>
      <c r="AJ120" s="572"/>
      <c r="AK120" s="572"/>
      <c r="AL120" s="572"/>
      <c r="BD120" s="44" t="s">
        <v>476</v>
      </c>
      <c r="BE120" s="161">
        <f ca="1">+Q124</f>
        <v>4894245.7481165202</v>
      </c>
      <c r="BF120" s="161">
        <f ca="1">+S124</f>
        <v>5165162.1337050516</v>
      </c>
      <c r="BG120" s="161">
        <f t="shared" ref="BG120:BO120" ca="1" si="440">+T124</f>
        <v>5458914.0751566412</v>
      </c>
      <c r="BH120" s="161">
        <f t="shared" ca="1" si="440"/>
        <v>5770141.4027941357</v>
      </c>
      <c r="BI120" s="161">
        <f t="shared" ca="1" si="440"/>
        <v>6099957.3540575989</v>
      </c>
      <c r="BJ120" s="161">
        <f t="shared" ca="1" si="440"/>
        <v>6449549.0677077901</v>
      </c>
      <c r="BK120" s="161">
        <f t="shared" ca="1" si="440"/>
        <v>6820182.6041895989</v>
      </c>
      <c r="BL120" s="161">
        <f t="shared" ca="1" si="440"/>
        <v>7213208.3113452056</v>
      </c>
      <c r="BM120" s="161">
        <f t="shared" ca="1" si="440"/>
        <v>7630653.182713205</v>
      </c>
      <c r="BN120" s="161">
        <f t="shared" ca="1" si="440"/>
        <v>8075269.277619767</v>
      </c>
      <c r="BO120" s="161">
        <f t="shared" ca="1" si="440"/>
        <v>8548634.365547318</v>
      </c>
      <c r="BP120" s="161">
        <f ca="1">+AG124</f>
        <v>11420835.008112997</v>
      </c>
      <c r="BR120" s="44" t="s">
        <v>476</v>
      </c>
      <c r="BS120" s="161">
        <f t="shared" ref="BS120:CD120" si="441">E114</f>
        <v>0</v>
      </c>
      <c r="BT120" s="161">
        <f t="shared" si="441"/>
        <v>0</v>
      </c>
      <c r="BU120" s="161">
        <f t="shared" si="441"/>
        <v>0</v>
      </c>
      <c r="BV120" s="161">
        <f t="shared" si="441"/>
        <v>0</v>
      </c>
      <c r="BW120" s="161">
        <f t="shared" si="441"/>
        <v>0</v>
      </c>
      <c r="BX120" s="161">
        <f t="shared" si="441"/>
        <v>0</v>
      </c>
      <c r="BY120" s="161">
        <f t="shared" si="441"/>
        <v>0</v>
      </c>
      <c r="BZ120" s="161">
        <f t="shared" si="441"/>
        <v>0</v>
      </c>
      <c r="CA120" s="161">
        <f t="shared" si="441"/>
        <v>0</v>
      </c>
      <c r="CB120" s="161">
        <f t="shared" si="441"/>
        <v>0</v>
      </c>
      <c r="CC120" s="161">
        <f t="shared" si="441"/>
        <v>0</v>
      </c>
      <c r="CD120" s="161">
        <f t="shared" si="441"/>
        <v>0</v>
      </c>
    </row>
    <row r="121" spans="1:82">
      <c r="A121" t="s">
        <v>28</v>
      </c>
      <c r="D121" s="59">
        <f t="shared" ref="D121:Q121" ca="1" si="442">D118+D116+D104+D95+D83</f>
        <v>5996550</v>
      </c>
      <c r="E121" s="59">
        <f t="shared" ca="1" si="442"/>
        <v>5991562.8596391752</v>
      </c>
      <c r="F121" s="59">
        <f t="shared" ca="1" si="442"/>
        <v>6004822.4157246444</v>
      </c>
      <c r="G121" s="59">
        <f t="shared" ca="1" si="442"/>
        <v>6018151.5100997277</v>
      </c>
      <c r="H121" s="59">
        <f t="shared" ca="1" si="442"/>
        <v>5986564.7552500842</v>
      </c>
      <c r="I121" s="59">
        <f t="shared" ca="1" si="442"/>
        <v>5996026.2991896104</v>
      </c>
      <c r="J121" s="59">
        <f t="shared" ca="1" si="442"/>
        <v>6008533.355503995</v>
      </c>
      <c r="K121" s="59">
        <f t="shared" ca="1" si="442"/>
        <v>6002621.9114376316</v>
      </c>
      <c r="L121" s="59">
        <f t="shared" ca="1" si="442"/>
        <v>6001279.9483884834</v>
      </c>
      <c r="M121" s="59">
        <f t="shared" ca="1" si="442"/>
        <v>6014996.6421509581</v>
      </c>
      <c r="N121" s="59">
        <f t="shared" ca="1" si="442"/>
        <v>6028788.2157084318</v>
      </c>
      <c r="O121" s="59">
        <f t="shared" ca="1" si="442"/>
        <v>6038667.2851797063</v>
      </c>
      <c r="P121" s="59">
        <f t="shared" ca="1" si="442"/>
        <v>6241818.8248130558</v>
      </c>
      <c r="Q121" s="59">
        <f t="shared" ca="1" si="442"/>
        <v>6242411.7781165205</v>
      </c>
      <c r="S121" s="59">
        <f ca="1">S118+S116+S104+S95+S83</f>
        <v>6580736.4652050519</v>
      </c>
      <c r="T121" s="59">
        <f t="shared" ref="T121:AB121" ca="1" si="443">T118+T116+T104+T95+T83</f>
        <v>6945267.123231641</v>
      </c>
      <c r="U121" s="59">
        <f t="shared" ca="1" si="443"/>
        <v>7330812.103272886</v>
      </c>
      <c r="V121" s="59">
        <f t="shared" ca="1" si="443"/>
        <v>7738661.5895602861</v>
      </c>
      <c r="W121" s="59">
        <f t="shared" ca="1" si="443"/>
        <v>8170188.5149856126</v>
      </c>
      <c r="X121" s="59">
        <f t="shared" ca="1" si="443"/>
        <v>8626854.0238313116</v>
      </c>
      <c r="Y121" s="59">
        <f t="shared" ca="1" si="443"/>
        <v>9110213.3019690048</v>
      </c>
      <c r="Z121" s="59">
        <f t="shared" ca="1" si="443"/>
        <v>9622508.4228681941</v>
      </c>
      <c r="AA121" s="59">
        <f t="shared" ca="1" si="443"/>
        <v>10166717.279782506</v>
      </c>
      <c r="AB121" s="59">
        <f t="shared" ca="1" si="443"/>
        <v>10744654.767818194</v>
      </c>
      <c r="AC121" s="59">
        <f t="shared" ref="AC121:AL121" ca="1" si="444">AC118+AC116+AC104+AC95+AC83</f>
        <v>11358544.230374822</v>
      </c>
      <c r="AD121" s="59">
        <f t="shared" ca="1" si="444"/>
        <v>12010759.462761056</v>
      </c>
      <c r="AE121" s="59">
        <f t="shared" ca="1" si="444"/>
        <v>12703834.991523258</v>
      </c>
      <c r="AF121" s="59">
        <f t="shared" ca="1" si="444"/>
        <v>13440477.058786264</v>
      </c>
      <c r="AG121" s="59">
        <f t="shared" ca="1" si="444"/>
        <v>14223575.358405149</v>
      </c>
      <c r="AH121" s="59">
        <f t="shared" ca="1" si="444"/>
        <v>15056215.577439085</v>
      </c>
      <c r="AI121" s="59">
        <f t="shared" ca="1" si="444"/>
        <v>15941692.796197547</v>
      </c>
      <c r="AJ121" s="59">
        <f t="shared" ca="1" si="444"/>
        <v>16883525.80749128</v>
      </c>
      <c r="AK121" s="59">
        <f t="shared" ca="1" si="444"/>
        <v>17885472.416661765</v>
      </c>
      <c r="AL121" s="59">
        <f t="shared" ca="1" si="444"/>
        <v>18951545.790781595</v>
      </c>
      <c r="BD121">
        <v>0</v>
      </c>
      <c r="BE121" s="756">
        <f t="dataTable" ref="BE121:BP122" dt2D="0" dtr="0" r1="C71" ca="1"/>
        <v>4894245.7481165202</v>
      </c>
      <c r="BF121" s="756">
        <v>5165162.1337050516</v>
      </c>
      <c r="BG121" s="756">
        <v>5458914.0751566412</v>
      </c>
      <c r="BH121" s="756">
        <v>5770141.4027941357</v>
      </c>
      <c r="BI121" s="756">
        <v>6099957.3540575989</v>
      </c>
      <c r="BJ121" s="756">
        <v>6449549.0677077901</v>
      </c>
      <c r="BK121" s="756">
        <v>6820182.6041895989</v>
      </c>
      <c r="BL121" s="756">
        <v>7213208.3113452056</v>
      </c>
      <c r="BM121" s="756">
        <v>7630653.182713205</v>
      </c>
      <c r="BN121" s="756">
        <v>8075269.277619767</v>
      </c>
      <c r="BO121" s="756">
        <v>8548634.365547318</v>
      </c>
      <c r="BP121" s="756">
        <v>11420835.008112997</v>
      </c>
      <c r="BR121">
        <v>0</v>
      </c>
      <c r="BS121" s="844">
        <v>288.84375</v>
      </c>
      <c r="BT121" s="844">
        <v>289.46175532692712</v>
      </c>
      <c r="BU121" s="844">
        <v>290.08108297554253</v>
      </c>
      <c r="BV121" s="844">
        <v>290.70173569199574</v>
      </c>
      <c r="BW121" s="844">
        <v>291.32371626068306</v>
      </c>
      <c r="BX121" s="844">
        <v>291.94702757302053</v>
      </c>
      <c r="BY121" s="844">
        <v>292.57167252053904</v>
      </c>
      <c r="BZ121" s="844">
        <v>293.19765399476944</v>
      </c>
      <c r="CA121" s="844">
        <v>293.82497488724226</v>
      </c>
      <c r="CB121" s="844">
        <v>294.45363798250958</v>
      </c>
      <c r="CC121" s="844">
        <v>295.08364606500839</v>
      </c>
      <c r="CD121" s="844">
        <v>295.71500202615499</v>
      </c>
    </row>
    <row r="122" spans="1:82">
      <c r="A122" t="s">
        <v>735</v>
      </c>
      <c r="D122" s="575">
        <f>-'MoneyBoard - Balance Sheet'!D19</f>
        <v>-1348166.03</v>
      </c>
      <c r="E122" s="59">
        <f>+D122</f>
        <v>-1348166.03</v>
      </c>
      <c r="F122" s="59">
        <f t="shared" ref="F122:Q122" si="445">+E122</f>
        <v>-1348166.03</v>
      </c>
      <c r="G122" s="59">
        <f t="shared" si="445"/>
        <v>-1348166.03</v>
      </c>
      <c r="H122" s="59">
        <f t="shared" si="445"/>
        <v>-1348166.03</v>
      </c>
      <c r="I122" s="59">
        <f t="shared" si="445"/>
        <v>-1348166.03</v>
      </c>
      <c r="J122" s="59">
        <f t="shared" si="445"/>
        <v>-1348166.03</v>
      </c>
      <c r="K122" s="59">
        <f t="shared" si="445"/>
        <v>-1348166.03</v>
      </c>
      <c r="L122" s="59">
        <f t="shared" si="445"/>
        <v>-1348166.03</v>
      </c>
      <c r="M122" s="59">
        <f t="shared" si="445"/>
        <v>-1348166.03</v>
      </c>
      <c r="N122" s="59">
        <f t="shared" si="445"/>
        <v>-1348166.03</v>
      </c>
      <c r="O122" s="59">
        <f t="shared" si="445"/>
        <v>-1348166.03</v>
      </c>
      <c r="P122" s="59">
        <f t="shared" si="445"/>
        <v>-1348166.03</v>
      </c>
      <c r="Q122" s="59">
        <f t="shared" si="445"/>
        <v>-1348166.03</v>
      </c>
      <c r="S122" s="59">
        <f>+Q122*(1+S123)</f>
        <v>-1415574.3315000001</v>
      </c>
      <c r="T122" s="59">
        <f>+S122*(1+T123)</f>
        <v>-1486353.0480750001</v>
      </c>
      <c r="U122" s="59">
        <f t="shared" ref="U122:AB122" si="446">+T122*(1+U123)</f>
        <v>-1560670.70047875</v>
      </c>
      <c r="V122" s="59">
        <f t="shared" si="446"/>
        <v>-1638704.2355026875</v>
      </c>
      <c r="W122" s="59">
        <f t="shared" si="446"/>
        <v>-1720639.4472778221</v>
      </c>
      <c r="X122" s="59">
        <f t="shared" si="446"/>
        <v>-1806671.4196417131</v>
      </c>
      <c r="Y122" s="59">
        <f t="shared" si="446"/>
        <v>-1897004.9906237989</v>
      </c>
      <c r="Z122" s="59">
        <f t="shared" si="446"/>
        <v>-1991855.2401549891</v>
      </c>
      <c r="AA122" s="59">
        <f t="shared" si="446"/>
        <v>-2091448.0021627387</v>
      </c>
      <c r="AB122" s="59">
        <f t="shared" si="446"/>
        <v>-2196020.4022708759</v>
      </c>
      <c r="AC122" s="59">
        <f t="shared" ref="AC122" si="447">+AB122*(1+AC123)</f>
        <v>-2305821.4223844199</v>
      </c>
      <c r="AD122" s="59">
        <f t="shared" ref="AD122" si="448">+AC122*(1+AD123)</f>
        <v>-2421112.4935036409</v>
      </c>
      <c r="AE122" s="59">
        <f t="shared" ref="AE122" si="449">+AD122*(1+AE123)</f>
        <v>-2542168.118178823</v>
      </c>
      <c r="AF122" s="59">
        <f t="shared" ref="AF122" si="450">+AE122*(1+AF123)</f>
        <v>-2669276.5240877643</v>
      </c>
      <c r="AG122" s="59">
        <f t="shared" ref="AG122" si="451">+AF122*(1+AG123)</f>
        <v>-2802740.3502921527</v>
      </c>
      <c r="AH122" s="59">
        <f t="shared" ref="AH122" si="452">+AG122*(1+AH123)</f>
        <v>-2942877.3678067606</v>
      </c>
      <c r="AI122" s="59">
        <f t="shared" ref="AI122" si="453">+AH122*(1+AI123)</f>
        <v>-3090021.2361970986</v>
      </c>
      <c r="AJ122" s="59">
        <f t="shared" ref="AJ122" si="454">+AI122*(1+AJ123)</f>
        <v>-3244522.2980069537</v>
      </c>
      <c r="AK122" s="59">
        <f t="shared" ref="AK122" si="455">+AJ122*(1+AK123)</f>
        <v>-3406748.4129073014</v>
      </c>
      <c r="AL122" s="59">
        <f t="shared" ref="AL122" si="456">+AK122*(1+AL123)</f>
        <v>-3577085.8335526665</v>
      </c>
      <c r="BD122">
        <v>1</v>
      </c>
      <c r="BE122" s="756">
        <v>4894245.7481165202</v>
      </c>
      <c r="BF122" s="756">
        <v>5165162.1337050516</v>
      </c>
      <c r="BG122" s="756">
        <v>5458914.0751566412</v>
      </c>
      <c r="BH122" s="756">
        <v>5770141.4027941357</v>
      </c>
      <c r="BI122" s="756">
        <v>6099957.3540575989</v>
      </c>
      <c r="BJ122" s="756">
        <v>6449549.0677077901</v>
      </c>
      <c r="BK122" s="756">
        <v>6820182.6041895989</v>
      </c>
      <c r="BL122" s="756">
        <v>7213208.3113452056</v>
      </c>
      <c r="BM122" s="756">
        <v>7630653.182713205</v>
      </c>
      <c r="BN122" s="756">
        <v>8075269.277619767</v>
      </c>
      <c r="BO122" s="756">
        <v>8548634.365547318</v>
      </c>
      <c r="BP122" s="756">
        <v>11420835.008112997</v>
      </c>
      <c r="BR122">
        <v>1</v>
      </c>
      <c r="BS122" s="844">
        <v>497.45435913219143</v>
      </c>
      <c r="BT122" s="844">
        <v>498.54668608304723</v>
      </c>
      <c r="BU122" s="844">
        <v>499.64141157472034</v>
      </c>
      <c r="BV122" s="844">
        <v>500.73854084354139</v>
      </c>
      <c r="BW122" s="844">
        <v>501.83807894543475</v>
      </c>
      <c r="BX122" s="844">
        <v>502.94003170563371</v>
      </c>
      <c r="BY122" s="844">
        <v>504.04440418022676</v>
      </c>
      <c r="BZ122" s="844">
        <v>505.1512016450061</v>
      </c>
      <c r="CA122" s="844">
        <v>506.26042926573126</v>
      </c>
      <c r="CB122" s="844">
        <v>507.37209275796459</v>
      </c>
      <c r="CC122" s="844">
        <v>479.67123603305737</v>
      </c>
      <c r="CD122" s="844">
        <v>526.16161330622788</v>
      </c>
    </row>
    <row r="123" spans="1:82">
      <c r="D123" s="575"/>
      <c r="E123" s="59"/>
      <c r="F123" s="59"/>
      <c r="G123" s="59"/>
      <c r="H123" s="59"/>
      <c r="I123" s="59"/>
      <c r="J123" s="59"/>
      <c r="K123" s="59"/>
      <c r="L123" s="59"/>
      <c r="M123" s="59"/>
      <c r="N123" s="59"/>
      <c r="O123" s="59"/>
      <c r="P123" s="59"/>
      <c r="Q123" s="59"/>
      <c r="R123" t="s">
        <v>736</v>
      </c>
      <c r="S123" s="1008">
        <v>0.05</v>
      </c>
      <c r="T123" s="170">
        <f>+S123</f>
        <v>0.05</v>
      </c>
      <c r="U123" s="170">
        <f t="shared" ref="U123:AB123" si="457">+T123</f>
        <v>0.05</v>
      </c>
      <c r="V123" s="170">
        <f t="shared" si="457"/>
        <v>0.05</v>
      </c>
      <c r="W123" s="170">
        <f t="shared" si="457"/>
        <v>0.05</v>
      </c>
      <c r="X123" s="170">
        <f t="shared" si="457"/>
        <v>0.05</v>
      </c>
      <c r="Y123" s="170">
        <f t="shared" si="457"/>
        <v>0.05</v>
      </c>
      <c r="Z123" s="170">
        <f t="shared" si="457"/>
        <v>0.05</v>
      </c>
      <c r="AA123" s="170">
        <f t="shared" si="457"/>
        <v>0.05</v>
      </c>
      <c r="AB123" s="170">
        <f t="shared" si="457"/>
        <v>0.05</v>
      </c>
      <c r="AC123" s="170">
        <f t="shared" ref="AC123" si="458">+AB123</f>
        <v>0.05</v>
      </c>
      <c r="AD123" s="170">
        <f t="shared" ref="AD123" si="459">+AC123</f>
        <v>0.05</v>
      </c>
      <c r="AE123" s="170">
        <f t="shared" ref="AE123" si="460">+AD123</f>
        <v>0.05</v>
      </c>
      <c r="AF123" s="170">
        <f t="shared" ref="AF123" si="461">+AE123</f>
        <v>0.05</v>
      </c>
      <c r="AG123" s="170">
        <f t="shared" ref="AG123" si="462">+AF123</f>
        <v>0.05</v>
      </c>
      <c r="AH123" s="170">
        <f t="shared" ref="AH123" si="463">+AG123</f>
        <v>0.05</v>
      </c>
      <c r="AI123" s="170">
        <f t="shared" ref="AI123" si="464">+AH123</f>
        <v>0.05</v>
      </c>
      <c r="AJ123" s="170">
        <f t="shared" ref="AJ123" si="465">+AI123</f>
        <v>0.05</v>
      </c>
      <c r="AK123" s="170">
        <f t="shared" ref="AK123" si="466">+AJ123</f>
        <v>0.05</v>
      </c>
      <c r="AL123" s="170">
        <f t="shared" ref="AL123" si="467">+AK123</f>
        <v>0.05</v>
      </c>
      <c r="BP123" s="756"/>
    </row>
    <row r="124" spans="1:82">
      <c r="A124" s="572" t="s">
        <v>587</v>
      </c>
      <c r="B124" s="572"/>
      <c r="C124" s="572"/>
      <c r="D124" s="575">
        <f>+'Balance Sheet'!B56</f>
        <v>4648383.97</v>
      </c>
      <c r="E124" s="572">
        <f t="shared" ref="E124:Q124" ca="1" si="468">+E121+E122</f>
        <v>4643396.829639175</v>
      </c>
      <c r="F124" s="572">
        <f t="shared" ca="1" si="468"/>
        <v>4656656.3857246442</v>
      </c>
      <c r="G124" s="572">
        <f t="shared" ca="1" si="468"/>
        <v>4669985.4800997274</v>
      </c>
      <c r="H124" s="572">
        <f t="shared" ca="1" si="468"/>
        <v>4638398.725250084</v>
      </c>
      <c r="I124" s="572">
        <f t="shared" ca="1" si="468"/>
        <v>4647860.2691896101</v>
      </c>
      <c r="J124" s="572">
        <f t="shared" ca="1" si="468"/>
        <v>4660367.3255039947</v>
      </c>
      <c r="K124" s="572">
        <f t="shared" ca="1" si="468"/>
        <v>4654455.8814376313</v>
      </c>
      <c r="L124" s="572">
        <f t="shared" ca="1" si="468"/>
        <v>4653113.9183884831</v>
      </c>
      <c r="M124" s="572">
        <f t="shared" ca="1" si="468"/>
        <v>4666830.6121509578</v>
      </c>
      <c r="N124" s="572">
        <f t="shared" ca="1" si="468"/>
        <v>4680622.1857084315</v>
      </c>
      <c r="O124" s="572">
        <f t="shared" ca="1" si="468"/>
        <v>4690501.255179706</v>
      </c>
      <c r="P124" s="572">
        <f t="shared" ca="1" si="468"/>
        <v>4893652.7948130555</v>
      </c>
      <c r="Q124" s="572">
        <f t="shared" ca="1" si="468"/>
        <v>4894245.7481165202</v>
      </c>
      <c r="S124" s="572">
        <f ca="1">+S121+S122</f>
        <v>5165162.1337050516</v>
      </c>
      <c r="T124" s="572">
        <f t="shared" ref="T124:AB124" ca="1" si="469">+T121+T122</f>
        <v>5458914.0751566412</v>
      </c>
      <c r="U124" s="572">
        <f t="shared" ca="1" si="469"/>
        <v>5770141.4027941357</v>
      </c>
      <c r="V124" s="572">
        <f t="shared" ca="1" si="469"/>
        <v>6099957.3540575989</v>
      </c>
      <c r="W124" s="572">
        <f t="shared" ca="1" si="469"/>
        <v>6449549.0677077901</v>
      </c>
      <c r="X124" s="572">
        <f t="shared" ca="1" si="469"/>
        <v>6820182.6041895989</v>
      </c>
      <c r="Y124" s="572">
        <f t="shared" ca="1" si="469"/>
        <v>7213208.3113452056</v>
      </c>
      <c r="Z124" s="572">
        <f t="shared" ca="1" si="469"/>
        <v>7630653.182713205</v>
      </c>
      <c r="AA124" s="572">
        <f t="shared" ca="1" si="469"/>
        <v>8075269.277619767</v>
      </c>
      <c r="AB124" s="572">
        <f t="shared" ca="1" si="469"/>
        <v>8548634.365547318</v>
      </c>
      <c r="AC124" s="572">
        <f t="shared" ref="AC124:AL124" ca="1" si="470">+AC121+AC122</f>
        <v>9052722.807990402</v>
      </c>
      <c r="AD124" s="572">
        <f t="shared" ca="1" si="470"/>
        <v>9589646.9692574143</v>
      </c>
      <c r="AE124" s="572">
        <f t="shared" ca="1" si="470"/>
        <v>10161666.873344436</v>
      </c>
      <c r="AF124" s="572">
        <f t="shared" ca="1" si="470"/>
        <v>10771200.534698499</v>
      </c>
      <c r="AG124" s="572">
        <f t="shared" ca="1" si="470"/>
        <v>11420835.008112997</v>
      </c>
      <c r="AH124" s="572">
        <f t="shared" ca="1" si="470"/>
        <v>12113338.209632324</v>
      </c>
      <c r="AI124" s="572">
        <f t="shared" ca="1" si="470"/>
        <v>12851671.560000448</v>
      </c>
      <c r="AJ124" s="572">
        <f t="shared" ca="1" si="470"/>
        <v>13639003.509484326</v>
      </c>
      <c r="AK124" s="572">
        <f t="shared" ca="1" si="470"/>
        <v>14478724.003754463</v>
      </c>
      <c r="AL124" s="572">
        <f t="shared" ca="1" si="470"/>
        <v>15374459.957228929</v>
      </c>
      <c r="BP124" s="756"/>
      <c r="BS124" s="59"/>
      <c r="BT124" s="59"/>
      <c r="BU124" s="59"/>
      <c r="BV124" s="59"/>
      <c r="BW124" s="59"/>
      <c r="BX124" s="59"/>
      <c r="BY124" s="59"/>
      <c r="BZ124" s="59"/>
      <c r="CA124" s="59"/>
      <c r="CB124" s="59"/>
      <c r="CC124" s="59"/>
      <c r="CD124" s="59"/>
    </row>
    <row r="125" spans="1:82">
      <c r="BE125" s="1005" t="s">
        <v>739</v>
      </c>
      <c r="BF125" s="1006"/>
      <c r="BG125" s="1006"/>
      <c r="BH125" s="1006"/>
      <c r="BI125" s="1006"/>
      <c r="BJ125" s="1006"/>
      <c r="BK125" s="1006"/>
      <c r="BL125" s="1006"/>
      <c r="BM125" s="1006"/>
      <c r="BN125" s="1006"/>
      <c r="BO125" s="1006"/>
      <c r="BP125" s="1006"/>
      <c r="BS125" s="1005" t="s">
        <v>646</v>
      </c>
      <c r="BT125" s="1007"/>
      <c r="BU125" s="1007"/>
      <c r="BV125" s="1007"/>
      <c r="BW125" s="1007"/>
      <c r="BX125" s="1007"/>
      <c r="BY125" s="1007"/>
      <c r="BZ125" s="1007"/>
      <c r="CA125" s="1007"/>
      <c r="CB125" s="1007"/>
      <c r="CC125" s="1007"/>
      <c r="CD125" s="1007"/>
    </row>
    <row r="126" spans="1:82">
      <c r="BE126" s="51">
        <f>+BF126-1</f>
        <v>2025</v>
      </c>
      <c r="BF126" s="51">
        <f>+$S$5</f>
        <v>2026</v>
      </c>
      <c r="BG126" s="51">
        <f>+$T$5</f>
        <v>2027</v>
      </c>
      <c r="BH126" s="51">
        <f>+$U$5</f>
        <v>2028</v>
      </c>
      <c r="BI126" s="51">
        <f>+$V$5</f>
        <v>2029</v>
      </c>
      <c r="BJ126" s="51">
        <f>+$W$5</f>
        <v>2030</v>
      </c>
      <c r="BK126" s="51">
        <f>+$X$5</f>
        <v>2031</v>
      </c>
      <c r="BL126" s="51">
        <f>+$Y$5</f>
        <v>2032</v>
      </c>
      <c r="BM126" s="51">
        <f>+$Z$5</f>
        <v>2033</v>
      </c>
      <c r="BN126" s="51">
        <f>+$AA$5</f>
        <v>2034</v>
      </c>
      <c r="BO126" s="51">
        <f>+$AB$5</f>
        <v>2035</v>
      </c>
      <c r="BP126" s="51">
        <f>+$AG$5</f>
        <v>2040</v>
      </c>
      <c r="BS126" s="51">
        <f>+BT126-1</f>
        <v>2025</v>
      </c>
      <c r="BT126" s="51">
        <f>+$S$5</f>
        <v>2026</v>
      </c>
      <c r="BU126" s="51">
        <f>+$T$5</f>
        <v>2027</v>
      </c>
      <c r="BV126" s="51">
        <f>+$U$5</f>
        <v>2028</v>
      </c>
      <c r="BW126" s="51">
        <f>+$V$5</f>
        <v>2029</v>
      </c>
      <c r="BX126" s="51">
        <f>+$W$5</f>
        <v>2030</v>
      </c>
      <c r="BY126" s="51">
        <f>+$X$5</f>
        <v>2031</v>
      </c>
      <c r="BZ126" s="51">
        <f>+$Y$5</f>
        <v>2032</v>
      </c>
      <c r="CA126" s="51">
        <f>+$Z$5</f>
        <v>2033</v>
      </c>
      <c r="CB126" s="51">
        <f>+$AA$5</f>
        <v>2034</v>
      </c>
      <c r="CC126" s="51">
        <f>+$AB$5</f>
        <v>2035</v>
      </c>
      <c r="CD126" s="51">
        <f>+$AC$5</f>
        <v>2036</v>
      </c>
    </row>
    <row r="127" spans="1:82">
      <c r="D127" s="59">
        <f t="shared" ref="D127:O127" ca="1" si="471">D83+D95+D104</f>
        <v>507050</v>
      </c>
      <c r="E127" s="59">
        <f t="shared" ca="1" si="471"/>
        <v>487424.10963917524</v>
      </c>
      <c r="F127" s="59">
        <f t="shared" ca="1" si="471"/>
        <v>485959.52301631158</v>
      </c>
      <c r="G127" s="59">
        <f t="shared" ca="1" si="471"/>
        <v>484478.58385059668</v>
      </c>
      <c r="H127" s="59">
        <f t="shared" ca="1" si="471"/>
        <v>437995.40359783301</v>
      </c>
      <c r="I127" s="59">
        <f t="shared" ca="1" si="471"/>
        <v>432473.62631938723</v>
      </c>
      <c r="J127" s="59">
        <f t="shared" ca="1" si="471"/>
        <v>429909.95870869444</v>
      </c>
      <c r="K127" s="59">
        <f t="shared" ca="1" si="471"/>
        <v>408839.87816102506</v>
      </c>
      <c r="L127" s="59">
        <f t="shared" ca="1" si="471"/>
        <v>392250.85325109772</v>
      </c>
      <c r="M127" s="59">
        <f t="shared" ca="1" si="471"/>
        <v>390631.54395860381</v>
      </c>
      <c r="N127" s="59">
        <f t="shared" ca="1" si="471"/>
        <v>388997.65444328898</v>
      </c>
      <c r="O127" s="59">
        <f t="shared" ca="1" si="471"/>
        <v>383361.27897384868</v>
      </c>
      <c r="P127" s="59">
        <f ca="1">P83+P95+P104</f>
        <v>570906.8669043323</v>
      </c>
      <c r="Q127" s="59">
        <f ca="1">Q83+Q95+Q104</f>
        <v>571499.82020779734</v>
      </c>
      <c r="BD127" s="44" t="s">
        <v>476</v>
      </c>
      <c r="BE127" s="161">
        <f ca="1">+Q116</f>
        <v>2690911.957908724</v>
      </c>
      <c r="BF127" s="161">
        <f ca="1">+S116</f>
        <v>2879275.7949623349</v>
      </c>
      <c r="BG127" s="161">
        <f t="shared" ref="BG127:BO127" ca="1" si="472">+T116</f>
        <v>3080825.1006096983</v>
      </c>
      <c r="BH127" s="161">
        <f t="shared" ca="1" si="472"/>
        <v>3296482.8576523773</v>
      </c>
      <c r="BI127" s="161">
        <f t="shared" ca="1" si="472"/>
        <v>3527236.657688044</v>
      </c>
      <c r="BJ127" s="161">
        <f t="shared" ca="1" si="472"/>
        <v>3774143.2237262074</v>
      </c>
      <c r="BK127" s="161">
        <f t="shared" ca="1" si="472"/>
        <v>4038333.2493870421</v>
      </c>
      <c r="BL127" s="161">
        <f t="shared" ca="1" si="472"/>
        <v>4331276.3629825925</v>
      </c>
      <c r="BM127" s="161">
        <f t="shared" ca="1" si="472"/>
        <v>4667465.4228608804</v>
      </c>
      <c r="BN127" s="161">
        <f t="shared" ca="1" si="472"/>
        <v>5028573.4518269356</v>
      </c>
      <c r="BO127" s="161">
        <f t="shared" ca="1" si="472"/>
        <v>5416397.2771948176</v>
      </c>
      <c r="BP127" s="161">
        <f ca="1">+AG116</f>
        <v>7828573.3158743661</v>
      </c>
      <c r="BR127" s="44" t="s">
        <v>476</v>
      </c>
      <c r="BS127" s="161">
        <f t="shared" ref="BS127:CD127" ca="1" si="473">E121</f>
        <v>5991562.8596391752</v>
      </c>
      <c r="BT127" s="161">
        <f t="shared" ca="1" si="473"/>
        <v>6004822.4157246444</v>
      </c>
      <c r="BU127" s="161">
        <f t="shared" ca="1" si="473"/>
        <v>6018151.5100997277</v>
      </c>
      <c r="BV127" s="161">
        <f t="shared" ca="1" si="473"/>
        <v>5986564.7552500842</v>
      </c>
      <c r="BW127" s="161">
        <f t="shared" ca="1" si="473"/>
        <v>5996026.2991896104</v>
      </c>
      <c r="BX127" s="161">
        <f t="shared" ca="1" si="473"/>
        <v>6008533.355503995</v>
      </c>
      <c r="BY127" s="161">
        <f t="shared" ca="1" si="473"/>
        <v>6002621.9114376316</v>
      </c>
      <c r="BZ127" s="161">
        <f t="shared" ca="1" si="473"/>
        <v>6001279.9483884834</v>
      </c>
      <c r="CA127" s="161">
        <f t="shared" ca="1" si="473"/>
        <v>6014996.6421509581</v>
      </c>
      <c r="CB127" s="161">
        <f t="shared" ca="1" si="473"/>
        <v>6028788.2157084318</v>
      </c>
      <c r="CC127" s="161">
        <f t="shared" ca="1" si="473"/>
        <v>6038667.2851797063</v>
      </c>
      <c r="CD127" s="161">
        <f t="shared" ca="1" si="473"/>
        <v>6241818.8248130558</v>
      </c>
    </row>
    <row r="128" spans="1:82">
      <c r="P128" s="59">
        <f ca="1">+P127-E127</f>
        <v>83482.757265157066</v>
      </c>
      <c r="Q128" s="59">
        <f ca="1">+Q127-D127</f>
        <v>64449.82020779734</v>
      </c>
      <c r="BD128">
        <v>0</v>
      </c>
      <c r="BE128" s="756">
        <f t="dataTable" ref="BE128:BP129" dt2D="0" dtr="0" r1="C71" ca="1"/>
        <v>2690911.957908724</v>
      </c>
      <c r="BF128" s="756">
        <v>2879275.7949623349</v>
      </c>
      <c r="BG128" s="756">
        <v>3080825.1006096983</v>
      </c>
      <c r="BH128" s="756">
        <v>3296482.8576523773</v>
      </c>
      <c r="BI128" s="756">
        <v>3527236.657688044</v>
      </c>
      <c r="BJ128" s="756">
        <v>3774143.2237262074</v>
      </c>
      <c r="BK128" s="756">
        <v>4038333.2493870421</v>
      </c>
      <c r="BL128" s="756">
        <v>4331276.3629825925</v>
      </c>
      <c r="BM128" s="756">
        <v>4667465.4228608804</v>
      </c>
      <c r="BN128" s="756">
        <v>5028573.4518269356</v>
      </c>
      <c r="BO128" s="756">
        <v>5416397.2771948176</v>
      </c>
      <c r="BP128" s="756">
        <v>7828573.3158743661</v>
      </c>
      <c r="BR128">
        <v>0</v>
      </c>
      <c r="BS128" s="844">
        <v>288.84375</v>
      </c>
      <c r="BT128" s="844">
        <v>289.46175532692712</v>
      </c>
      <c r="BU128" s="844">
        <v>290.08108297554253</v>
      </c>
      <c r="BV128" s="844">
        <v>290.70173569199574</v>
      </c>
      <c r="BW128" s="844">
        <v>291.32371626068306</v>
      </c>
      <c r="BX128" s="844">
        <v>291.94702757302053</v>
      </c>
      <c r="BY128" s="844">
        <v>292.57167252053904</v>
      </c>
      <c r="BZ128" s="844">
        <v>293.19765399476944</v>
      </c>
      <c r="CA128" s="844">
        <v>293.82497488724226</v>
      </c>
      <c r="CB128" s="844">
        <v>294.45363798250958</v>
      </c>
      <c r="CC128" s="844">
        <v>295.08364606500839</v>
      </c>
      <c r="CD128" s="844">
        <v>295.71500202615499</v>
      </c>
    </row>
    <row r="129" spans="56:82">
      <c r="BD129">
        <v>1</v>
      </c>
      <c r="BE129" s="756">
        <v>2690911.957908724</v>
      </c>
      <c r="BF129" s="756">
        <v>2879275.7949623349</v>
      </c>
      <c r="BG129" s="756">
        <v>3080825.1006096983</v>
      </c>
      <c r="BH129" s="756">
        <v>3296482.8576523773</v>
      </c>
      <c r="BI129" s="756">
        <v>3527236.657688044</v>
      </c>
      <c r="BJ129" s="756">
        <v>3774143.2237262074</v>
      </c>
      <c r="BK129" s="756">
        <v>4038333.2493870421</v>
      </c>
      <c r="BL129" s="756">
        <v>4331276.3629825925</v>
      </c>
      <c r="BM129" s="756">
        <v>4667465.4228608804</v>
      </c>
      <c r="BN129" s="756">
        <v>5028573.4518269356</v>
      </c>
      <c r="BO129" s="756">
        <v>5416397.2771948176</v>
      </c>
      <c r="BP129" s="756">
        <v>7828573.3158743661</v>
      </c>
      <c r="BR129">
        <v>1</v>
      </c>
      <c r="BS129" s="844">
        <v>497.45435913219143</v>
      </c>
      <c r="BT129" s="844">
        <v>498.54668608304723</v>
      </c>
      <c r="BU129" s="844">
        <v>499.64141157472034</v>
      </c>
      <c r="BV129" s="844">
        <v>500.73854084354139</v>
      </c>
      <c r="BW129" s="844">
        <v>501.83807894543475</v>
      </c>
      <c r="BX129" s="844">
        <v>502.94003170563371</v>
      </c>
      <c r="BY129" s="844">
        <v>504.04440418022676</v>
      </c>
      <c r="BZ129" s="844">
        <v>505.1512016450061</v>
      </c>
      <c r="CA129" s="844">
        <v>506.26042926573126</v>
      </c>
      <c r="CB129" s="844">
        <v>507.37209275796459</v>
      </c>
      <c r="CC129" s="844">
        <v>479.67123603305737</v>
      </c>
      <c r="CD129" s="844">
        <v>526.16161330622788</v>
      </c>
    </row>
    <row r="130" spans="56:82">
      <c r="BP130" s="756"/>
    </row>
    <row r="131" spans="56:82">
      <c r="BP131" s="756"/>
    </row>
    <row r="132" spans="56:82">
      <c r="BE132" s="1005" t="s">
        <v>740</v>
      </c>
      <c r="BF132" s="1006"/>
      <c r="BG132" s="1006"/>
      <c r="BH132" s="1006"/>
      <c r="BI132" s="1006"/>
      <c r="BJ132" s="1006"/>
      <c r="BK132" s="1006"/>
      <c r="BL132" s="1006"/>
      <c r="BM132" s="1006"/>
      <c r="BN132" s="1006"/>
      <c r="BO132" s="1006"/>
      <c r="BP132" s="1006"/>
    </row>
    <row r="133" spans="56:82">
      <c r="BE133" s="51">
        <f>+BF133-1</f>
        <v>2025</v>
      </c>
      <c r="BF133" s="51">
        <f>+$S$5</f>
        <v>2026</v>
      </c>
      <c r="BG133" s="51">
        <f>+$T$5</f>
        <v>2027</v>
      </c>
      <c r="BH133" s="51">
        <f>+$U$5</f>
        <v>2028</v>
      </c>
      <c r="BI133" s="51">
        <f>+$V$5</f>
        <v>2029</v>
      </c>
      <c r="BJ133" s="51">
        <f>+$W$5</f>
        <v>2030</v>
      </c>
      <c r="BK133" s="51">
        <f>+$X$5</f>
        <v>2031</v>
      </c>
      <c r="BL133" s="51">
        <f>+$Y$5</f>
        <v>2032</v>
      </c>
      <c r="BM133" s="51">
        <f>+$Z$5</f>
        <v>2033</v>
      </c>
      <c r="BN133" s="51">
        <f>+$AA$5</f>
        <v>2034</v>
      </c>
      <c r="BO133" s="51">
        <f>+$AB$5</f>
        <v>2035</v>
      </c>
      <c r="BP133" s="51">
        <f>+$AG$5</f>
        <v>2040</v>
      </c>
    </row>
    <row r="134" spans="56:82">
      <c r="BD134" s="44" t="s">
        <v>476</v>
      </c>
      <c r="BE134" s="161">
        <f ca="1">+Q83+Q95+Q104</f>
        <v>571499.82020779734</v>
      </c>
      <c r="BF134" s="161">
        <f ca="1">+S83+S95+S104</f>
        <v>632060.67024271726</v>
      </c>
      <c r="BG134" s="161">
        <f t="shared" ref="BG134:BO134" ca="1" si="474">+T83+T95+T104</f>
        <v>702960.02262194245</v>
      </c>
      <c r="BH134" s="161">
        <f t="shared" ca="1" si="474"/>
        <v>778002.78562050918</v>
      </c>
      <c r="BI134" s="161">
        <f t="shared" ca="1" si="474"/>
        <v>857408.67807224195</v>
      </c>
      <c r="BJ134" s="161">
        <f t="shared" ca="1" si="474"/>
        <v>941408.54984540492</v>
      </c>
      <c r="BK134" s="161">
        <f t="shared" ca="1" si="474"/>
        <v>1030244.9307878483</v>
      </c>
      <c r="BL134" s="161">
        <f t="shared" ca="1" si="474"/>
        <v>1113912.8200202989</v>
      </c>
      <c r="BM134" s="161">
        <f t="shared" ca="1" si="474"/>
        <v>1180068.1574722177</v>
      </c>
      <c r="BN134" s="161">
        <f t="shared" ca="1" si="474"/>
        <v>1249919.7401444209</v>
      </c>
      <c r="BO134" s="161">
        <f t="shared" ca="1" si="474"/>
        <v>1323386.6801778926</v>
      </c>
      <c r="BP134" s="161">
        <f ca="1">+AG83+AG95+AG104</f>
        <v>1752259.1410605039</v>
      </c>
    </row>
    <row r="135" spans="56:82">
      <c r="BD135">
        <v>0</v>
      </c>
      <c r="BE135" s="756">
        <f t="dataTable" ref="BE135:BP136" dt2D="0" dtr="0" r1="C71" ca="1"/>
        <v>571499.82020779734</v>
      </c>
      <c r="BF135" s="756">
        <v>632060.67024271726</v>
      </c>
      <c r="BG135" s="756">
        <v>702960.02262194245</v>
      </c>
      <c r="BH135" s="756">
        <v>778002.78562050918</v>
      </c>
      <c r="BI135" s="756">
        <v>857408.67807224195</v>
      </c>
      <c r="BJ135" s="756">
        <v>941408.54984540492</v>
      </c>
      <c r="BK135" s="756">
        <v>1030244.9307878483</v>
      </c>
      <c r="BL135" s="756">
        <v>1113912.8200202989</v>
      </c>
      <c r="BM135" s="756">
        <v>1180068.1574722177</v>
      </c>
      <c r="BN135" s="756">
        <v>1249919.7401444209</v>
      </c>
      <c r="BO135" s="756">
        <v>1323386.6801778926</v>
      </c>
      <c r="BP135" s="756">
        <v>1752259.1410605039</v>
      </c>
    </row>
    <row r="136" spans="56:82">
      <c r="BD136">
        <v>1</v>
      </c>
      <c r="BE136" s="756">
        <v>571499.82020779734</v>
      </c>
      <c r="BF136" s="756">
        <v>632060.67024271726</v>
      </c>
      <c r="BG136" s="756">
        <v>702960.02262194245</v>
      </c>
      <c r="BH136" s="756">
        <v>778002.78562050918</v>
      </c>
      <c r="BI136" s="756">
        <v>857408.67807224195</v>
      </c>
      <c r="BJ136" s="756">
        <v>941408.54984540492</v>
      </c>
      <c r="BK136" s="756">
        <v>1030244.9307878483</v>
      </c>
      <c r="BL136" s="756">
        <v>1113912.8200202989</v>
      </c>
      <c r="BM136" s="756">
        <v>1180068.1574722177</v>
      </c>
      <c r="BN136" s="756">
        <v>1249919.7401444209</v>
      </c>
      <c r="BO136" s="756">
        <v>1323386.6801778926</v>
      </c>
      <c r="BP136" s="756">
        <v>1752259.1410605039</v>
      </c>
    </row>
    <row r="161" spans="57:68">
      <c r="BE161" s="844"/>
      <c r="BF161" s="844"/>
      <c r="BG161" s="844"/>
      <c r="BH161" s="844"/>
      <c r="BI161" s="844"/>
      <c r="BJ161" s="844"/>
      <c r="BK161" s="844"/>
      <c r="BL161" s="844"/>
      <c r="BM161" s="844"/>
      <c r="BN161" s="844"/>
      <c r="BO161" s="844"/>
      <c r="BP161" s="844"/>
    </row>
  </sheetData>
  <pageMargins left="0.1" right="0.1" top="0.1" bottom="0.1" header="0.3" footer="0.3"/>
  <pageSetup scale="13"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C0BD-935F-448E-9137-AC23CBB2DC94}">
  <dimension ref="B1:BK34"/>
  <sheetViews>
    <sheetView showGridLines="0" tabSelected="1" topLeftCell="AY22" zoomScale="115" zoomScaleNormal="115" workbookViewId="0">
      <selection activeCell="BH31" sqref="BH31"/>
    </sheetView>
  </sheetViews>
  <sheetFormatPr defaultColWidth="9.1796875" defaultRowHeight="36.75" customHeight="1" outlineLevelCol="1"/>
  <cols>
    <col min="1" max="1" width="9.1796875" style="228"/>
    <col min="2" max="2" width="16.453125" style="228" customWidth="1"/>
    <col min="3" max="3" width="33.1796875" style="228" hidden="1" customWidth="1" outlineLevel="1"/>
    <col min="4" max="4" width="12.26953125" style="228" customWidth="1" collapsed="1"/>
    <col min="5" max="5" width="14.7265625" style="228" customWidth="1"/>
    <col min="6" max="6" width="10.7265625" style="228" customWidth="1"/>
    <col min="7" max="8" width="14.7265625" style="228" customWidth="1"/>
    <col min="9" max="9" width="23.453125" style="228" customWidth="1"/>
    <col min="10" max="10" width="11.453125" style="228" customWidth="1"/>
    <col min="11" max="11" width="11.81640625" customWidth="1"/>
    <col min="12" max="12" width="9.54296875" style="228" bestFit="1" customWidth="1"/>
    <col min="13" max="13" width="10.7265625" customWidth="1"/>
    <col min="14" max="14" width="13.453125" style="228" customWidth="1"/>
    <col min="15" max="15" width="11.1796875" style="228" customWidth="1"/>
    <col min="16" max="16" width="11" style="228" customWidth="1"/>
    <col min="17" max="17" width="1" customWidth="1"/>
    <col min="18" max="18" width="9.1796875" style="228" customWidth="1"/>
    <col min="19" max="19" width="11" style="228" customWidth="1"/>
    <col min="20" max="20" width="1" customWidth="1"/>
    <col min="21" max="21" width="12" style="228" customWidth="1"/>
    <col min="22" max="22" width="10.81640625" style="228" customWidth="1"/>
    <col min="23" max="23" width="1" style="32" customWidth="1"/>
    <col min="24" max="24" width="12.81640625" style="228" customWidth="1"/>
    <col min="25" max="25" width="12.453125" style="228" customWidth="1"/>
    <col min="26" max="26" width="1" style="32" customWidth="1"/>
    <col min="27" max="27" width="11.81640625" style="228" customWidth="1"/>
    <col min="28" max="28" width="12.453125" style="228" customWidth="1"/>
    <col min="29" max="29" width="12" style="228" customWidth="1"/>
    <col min="30" max="30" width="10.453125" style="228" customWidth="1"/>
    <col min="31" max="31" width="13.7265625" style="228" customWidth="1"/>
    <col min="32" max="34" width="12.1796875" customWidth="1"/>
    <col min="35" max="35" width="19.81640625" style="228" customWidth="1"/>
    <col min="36" max="36" width="9.1796875" style="228"/>
    <col min="37" max="37" width="11.81640625" style="228" customWidth="1"/>
    <col min="38" max="38" width="23.26953125" style="228" customWidth="1" outlineLevel="1"/>
    <col min="39" max="39" width="10" style="228" customWidth="1" outlineLevel="1" collapsed="1"/>
    <col min="40" max="40" width="8" style="228" customWidth="1" outlineLevel="1"/>
    <col min="41" max="41" width="8.1796875" style="228" customWidth="1" outlineLevel="1"/>
    <col min="42" max="42" width="11.26953125" style="228" customWidth="1" outlineLevel="1"/>
    <col min="43" max="43" width="15.453125" style="228" customWidth="1"/>
    <col min="44" max="44" width="12.453125" style="228" customWidth="1"/>
    <col min="45" max="45" width="20.54296875" style="228" customWidth="1"/>
    <col min="46" max="47" width="12.26953125" style="228" customWidth="1"/>
    <col min="48" max="48" width="23" style="228" customWidth="1"/>
    <col min="49" max="49" width="10.54296875" style="228" customWidth="1"/>
    <col min="50" max="50" width="10.54296875" style="228" hidden="1" customWidth="1" outlineLevel="1"/>
    <col min="51" max="51" width="12" style="228" customWidth="1" collapsed="1"/>
    <col min="52" max="52" width="10.54296875" style="228" customWidth="1" outlineLevel="1"/>
    <col min="53" max="53" width="23" style="228" customWidth="1"/>
    <col min="54" max="54" width="9.1796875" style="228"/>
    <col min="55" max="57" width="14" style="228" bestFit="1" customWidth="1"/>
    <col min="58" max="59" width="9.1796875" style="228"/>
    <col min="60" max="60" width="14.453125" style="228" customWidth="1"/>
    <col min="61" max="62" width="16.54296875" style="228" bestFit="1" customWidth="1"/>
    <col min="63" max="16384" width="9.1796875" style="228"/>
  </cols>
  <sheetData>
    <row r="1" spans="2:46" ht="18" customHeight="1">
      <c r="B1" s="494" t="s">
        <v>422</v>
      </c>
      <c r="C1" s="494"/>
      <c r="D1" s="494">
        <v>1</v>
      </c>
      <c r="E1" s="494">
        <f>+D1+1</f>
        <v>2</v>
      </c>
      <c r="F1" s="494">
        <f t="shared" ref="F1:O1" si="0">+E1+1</f>
        <v>3</v>
      </c>
      <c r="G1" s="494">
        <f t="shared" si="0"/>
        <v>4</v>
      </c>
      <c r="H1" s="494">
        <f t="shared" si="0"/>
        <v>5</v>
      </c>
      <c r="I1" s="494">
        <f t="shared" si="0"/>
        <v>6</v>
      </c>
      <c r="J1" s="494">
        <f t="shared" si="0"/>
        <v>7</v>
      </c>
      <c r="K1" s="494">
        <f t="shared" si="0"/>
        <v>8</v>
      </c>
      <c r="L1" s="494">
        <f t="shared" si="0"/>
        <v>9</v>
      </c>
      <c r="M1" s="494">
        <f t="shared" si="0"/>
        <v>10</v>
      </c>
      <c r="N1" s="494">
        <f t="shared" si="0"/>
        <v>11</v>
      </c>
      <c r="O1" s="494">
        <f t="shared" si="0"/>
        <v>12</v>
      </c>
      <c r="P1"/>
      <c r="R1"/>
      <c r="S1"/>
    </row>
    <row r="2" spans="2:46" ht="18" customHeight="1">
      <c r="B2" s="228" t="s">
        <v>426</v>
      </c>
      <c r="D2" s="493">
        <f>Charts!E28</f>
        <v>19092.12012364098</v>
      </c>
      <c r="E2" s="493">
        <f>Charts!F28</f>
        <v>19067.437144038788</v>
      </c>
      <c r="F2" s="493">
        <f>Charts!G28</f>
        <v>19010.764991590117</v>
      </c>
      <c r="G2" s="493">
        <f>Charts!H28</f>
        <v>18949.216518181405</v>
      </c>
      <c r="H2" s="493">
        <f>Charts!I28</f>
        <v>18938.665913158478</v>
      </c>
      <c r="I2" s="493">
        <f>Charts!J28</f>
        <v>18910.164438749944</v>
      </c>
      <c r="J2" s="493">
        <f>Charts!K28</f>
        <v>18865.289126189757</v>
      </c>
      <c r="K2" s="493">
        <f>Charts!L28</f>
        <v>18842.948500637824</v>
      </c>
      <c r="L2" s="493">
        <f>Charts!M28</f>
        <v>18838.034097378899</v>
      </c>
      <c r="M2" s="493">
        <f>Charts!N28</f>
        <v>18828.48970102708</v>
      </c>
      <c r="N2" s="493">
        <f>Charts!O28</f>
        <v>18817.565529278854</v>
      </c>
      <c r="O2" s="493">
        <f ca="1">Charts!P28</f>
        <v>241147.11328069784</v>
      </c>
      <c r="P2"/>
      <c r="R2"/>
      <c r="S2"/>
      <c r="U2"/>
      <c r="V2"/>
      <c r="W2"/>
      <c r="X2"/>
      <c r="Y2"/>
      <c r="Z2"/>
      <c r="AA2"/>
    </row>
    <row r="3" spans="2:46" ht="18" customHeight="1">
      <c r="B3" s="228" t="s">
        <v>74</v>
      </c>
      <c r="D3" s="493">
        <f>+Charts!E42</f>
        <v>-38439.42</v>
      </c>
      <c r="E3" s="493">
        <f>+Charts!F42</f>
        <v>-20939.419999999991</v>
      </c>
      <c r="F3" s="493">
        <f>+Charts!G42</f>
        <v>-20939.419999999991</v>
      </c>
      <c r="G3" s="493">
        <f>+Charts!H42</f>
        <v>-65939.42</v>
      </c>
      <c r="H3" s="493">
        <f>+Charts!I42</f>
        <v>-24939.419999999991</v>
      </c>
      <c r="I3" s="493">
        <f>+Charts!J42</f>
        <v>-21939.419999999991</v>
      </c>
      <c r="J3" s="493">
        <f>+Charts!K42</f>
        <v>-40439.42</v>
      </c>
      <c r="K3" s="493">
        <f>+Charts!L42</f>
        <v>-35939.419999999991</v>
      </c>
      <c r="L3" s="493">
        <f>+Charts!M42</f>
        <v>-20939.419999999991</v>
      </c>
      <c r="M3" s="493">
        <f>+Charts!N42</f>
        <v>-20939.419999999991</v>
      </c>
      <c r="N3" s="493">
        <f>+Charts!O42</f>
        <v>-24939.419999999991</v>
      </c>
      <c r="O3" s="493">
        <f>+Charts!P42</f>
        <v>-48392.38</v>
      </c>
      <c r="P3"/>
      <c r="R3"/>
      <c r="S3"/>
      <c r="U3"/>
      <c r="V3"/>
      <c r="W3"/>
      <c r="X3"/>
      <c r="Y3"/>
      <c r="Z3"/>
      <c r="AA3"/>
    </row>
    <row r="4" spans="2:46" ht="18" customHeight="1">
      <c r="B4" s="228" t="s">
        <v>472</v>
      </c>
      <c r="D4" s="493">
        <f>+'Cash Flow'!E68</f>
        <v>-19625.890360824738</v>
      </c>
      <c r="E4" s="493">
        <f>+'Cash Flow'!F68</f>
        <v>-2125.890360824731</v>
      </c>
      <c r="F4" s="493">
        <f>+'Cash Flow'!G68</f>
        <v>-2125.890360824731</v>
      </c>
      <c r="G4" s="493">
        <f>+'Cash Flow'!H68</f>
        <v>-47125.890360824735</v>
      </c>
      <c r="H4" s="493">
        <f>+'Cash Flow'!I68</f>
        <v>-6125.890360824731</v>
      </c>
      <c r="I4" s="493">
        <f>+'Cash Flow'!J68</f>
        <v>-3125.890360824731</v>
      </c>
      <c r="J4" s="493">
        <f>+'Cash Flow'!K68</f>
        <v>-21625.890360824738</v>
      </c>
      <c r="K4" s="493">
        <f>+'Cash Flow'!L68</f>
        <v>-17125.890360824731</v>
      </c>
      <c r="L4" s="493">
        <f>+'Cash Flow'!M68</f>
        <v>-2125.890360824731</v>
      </c>
      <c r="M4" s="493">
        <f>+'Cash Flow'!N68</f>
        <v>-2125.890360824731</v>
      </c>
      <c r="N4" s="493">
        <f>+'Cash Flow'!O68</f>
        <v>-6125.890360824731</v>
      </c>
      <c r="O4" s="493">
        <f>+'Cash Flow'!P68</f>
        <v>187061.79396907217</v>
      </c>
      <c r="P4"/>
      <c r="R4"/>
      <c r="S4"/>
      <c r="U4"/>
      <c r="V4"/>
      <c r="W4"/>
      <c r="X4"/>
      <c r="Y4"/>
      <c r="Z4"/>
      <c r="AA4"/>
    </row>
    <row r="5" spans="2:46" ht="18" customHeight="1">
      <c r="B5" s="228" t="s">
        <v>474</v>
      </c>
      <c r="D5" s="493">
        <f>+SUM(D$4:$D4)</f>
        <v>-19625.890360824738</v>
      </c>
      <c r="E5" s="493">
        <f>+SUM($D$4:E4)</f>
        <v>-21751.780721649469</v>
      </c>
      <c r="F5" s="493">
        <f>+SUM($D$4:F4)</f>
        <v>-23877.6710824742</v>
      </c>
      <c r="G5" s="493">
        <f>+SUM($D$4:G4)</f>
        <v>-71003.561443298939</v>
      </c>
      <c r="H5" s="493">
        <f>+SUM($D$4:H4)</f>
        <v>-77129.451804123673</v>
      </c>
      <c r="I5" s="493">
        <f>+SUM($D$4:I4)</f>
        <v>-80255.342164948408</v>
      </c>
      <c r="J5" s="493">
        <f>+SUM($D$4:J4)</f>
        <v>-101881.23252577314</v>
      </c>
      <c r="K5" s="493">
        <f>+SUM($D$4:K4)</f>
        <v>-119007.12288659788</v>
      </c>
      <c r="L5" s="493">
        <f>+SUM($D$4:L4)</f>
        <v>-121133.01324742261</v>
      </c>
      <c r="M5" s="493">
        <f>+SUM($D$4:M4)</f>
        <v>-123258.90360824735</v>
      </c>
      <c r="N5" s="493">
        <f>+SUM($D$4:N4)</f>
        <v>-129384.79396907208</v>
      </c>
      <c r="O5" s="493">
        <f>+SUM($D$4:O4)</f>
        <v>57677.000000000087</v>
      </c>
      <c r="P5"/>
      <c r="R5"/>
      <c r="S5"/>
      <c r="U5"/>
      <c r="V5"/>
      <c r="W5"/>
      <c r="X5"/>
      <c r="Y5"/>
      <c r="Z5"/>
      <c r="AA5"/>
    </row>
    <row r="6" spans="2:46" ht="18" customHeight="1">
      <c r="D6" s="493"/>
      <c r="E6" s="493"/>
      <c r="F6" s="493"/>
      <c r="G6" s="493"/>
      <c r="H6" s="493"/>
      <c r="I6" s="493"/>
      <c r="J6" s="493"/>
      <c r="K6" s="493"/>
      <c r="L6" s="493"/>
      <c r="M6" s="493"/>
      <c r="N6" s="493"/>
      <c r="O6" s="493"/>
      <c r="P6"/>
      <c r="R6"/>
      <c r="S6"/>
      <c r="U6"/>
      <c r="V6"/>
      <c r="W6"/>
      <c r="X6"/>
      <c r="Y6"/>
      <c r="Z6"/>
      <c r="AA6"/>
    </row>
    <row r="7" spans="2:46" ht="18" customHeight="1">
      <c r="D7" s="493"/>
      <c r="E7" s="493"/>
      <c r="F7" s="493"/>
      <c r="G7" s="493"/>
      <c r="H7" s="493"/>
      <c r="I7" s="493"/>
      <c r="J7" s="493"/>
      <c r="K7" s="493"/>
      <c r="L7" s="493"/>
      <c r="M7" s="493"/>
      <c r="N7" s="493"/>
      <c r="O7" s="493"/>
      <c r="P7" s="493"/>
      <c r="R7" s="250"/>
      <c r="S7" s="250"/>
      <c r="U7"/>
      <c r="V7"/>
      <c r="W7"/>
      <c r="X7"/>
      <c r="Y7"/>
      <c r="Z7"/>
      <c r="AA7"/>
    </row>
    <row r="8" spans="2:46" ht="18" customHeight="1">
      <c r="D8" s="493"/>
      <c r="E8" s="493"/>
      <c r="F8" s="493"/>
      <c r="G8" s="493"/>
      <c r="H8" s="493"/>
      <c r="I8" s="493"/>
      <c r="J8" s="493"/>
      <c r="K8" s="493"/>
      <c r="L8" s="493"/>
      <c r="M8" s="493"/>
      <c r="N8" s="493"/>
      <c r="O8" s="493"/>
      <c r="P8" s="493"/>
      <c r="R8" s="250"/>
      <c r="S8" s="250"/>
      <c r="U8"/>
      <c r="V8"/>
      <c r="W8"/>
      <c r="X8"/>
      <c r="Y8"/>
      <c r="Z8"/>
      <c r="AA8"/>
    </row>
    <row r="9" spans="2:46" ht="18" customHeight="1">
      <c r="D9" s="493"/>
      <c r="E9" s="493"/>
      <c r="F9" s="493"/>
      <c r="G9" s="493"/>
      <c r="H9" s="493"/>
      <c r="I9" s="493"/>
      <c r="J9" s="493"/>
      <c r="K9" s="493"/>
      <c r="L9" s="493"/>
      <c r="M9" s="493"/>
      <c r="N9" s="493"/>
      <c r="O9" s="493"/>
      <c r="P9" s="493"/>
      <c r="R9" s="250"/>
      <c r="S9" s="250"/>
      <c r="U9"/>
      <c r="V9"/>
      <c r="W9"/>
      <c r="X9"/>
      <c r="Y9"/>
      <c r="Z9"/>
      <c r="AA9"/>
    </row>
    <row r="10" spans="2:46" ht="18" customHeight="1">
      <c r="B10" s="502" t="s">
        <v>424</v>
      </c>
      <c r="C10" s="500"/>
      <c r="F10" s="502" t="s">
        <v>424</v>
      </c>
      <c r="G10" s="500"/>
      <c r="H10" s="500"/>
      <c r="I10" s="500"/>
      <c r="J10" s="500"/>
      <c r="M10" s="534" t="s">
        <v>434</v>
      </c>
      <c r="N10" s="535"/>
      <c r="O10" s="535"/>
      <c r="P10" s="535"/>
      <c r="U10"/>
      <c r="V10"/>
      <c r="W10"/>
      <c r="X10"/>
      <c r="Y10"/>
      <c r="Z10"/>
      <c r="AA10"/>
    </row>
    <row r="11" spans="2:46" ht="18" customHeight="1">
      <c r="B11" s="495" t="s">
        <v>421</v>
      </c>
      <c r="F11" s="495" t="s">
        <v>421</v>
      </c>
      <c r="H11" s="492">
        <v>1</v>
      </c>
      <c r="J11" s="492">
        <v>3</v>
      </c>
      <c r="M11" s="230" t="s">
        <v>277</v>
      </c>
      <c r="N11" s="229"/>
      <c r="P11" s="533">
        <f>+'Cash Flow'!E10</f>
        <v>18813.52963917526</v>
      </c>
      <c r="U11"/>
      <c r="V11"/>
      <c r="W11"/>
      <c r="X11"/>
      <c r="Y11"/>
      <c r="Z11"/>
      <c r="AA11"/>
    </row>
    <row r="12" spans="2:46" ht="18" customHeight="1">
      <c r="B12" s="507" t="e">
        <f>"Average Monthly Expenses Next "&amp;#REF!&amp;" months"</f>
        <v>#REF!</v>
      </c>
      <c r="C12" s="508"/>
      <c r="D12" s="229"/>
      <c r="E12" s="229"/>
      <c r="F12" s="497" t="str">
        <f>"Average Monthly Expenses Next "&amp;J11&amp;" months"</f>
        <v>Average Monthly Expenses Next 3 months</v>
      </c>
      <c r="G12" s="499"/>
      <c r="H12" s="505">
        <f>-AVERAGE(E3:E3)</f>
        <v>20939.419999999991</v>
      </c>
      <c r="I12" s="499"/>
      <c r="J12" s="505">
        <f>-AVERAGE(F3:I3)</f>
        <v>33439.419999999991</v>
      </c>
      <c r="K12" s="490"/>
      <c r="L12" s="229"/>
      <c r="N12" s="229"/>
      <c r="O12" s="229"/>
      <c r="P12" s="229"/>
      <c r="R12" s="229"/>
      <c r="S12" s="229"/>
      <c r="U12" s="229"/>
      <c r="V12" s="229"/>
      <c r="Y12" s="229"/>
      <c r="AA12" s="229"/>
      <c r="AB12" s="229"/>
      <c r="AC12" s="229"/>
      <c r="AD12" s="229"/>
      <c r="AJ12" s="229"/>
      <c r="AK12" s="229"/>
      <c r="AL12" s="229"/>
    </row>
    <row r="13" spans="2:46" ht="18" customHeight="1">
      <c r="B13" s="496" t="str">
        <f>"Total expenses for "&amp;E11&amp;" months"</f>
        <v>Total expenses for  months</v>
      </c>
      <c r="C13" s="498"/>
      <c r="F13" s="496" t="str">
        <f>"Total expenses for "&amp;J11&amp;" months"</f>
        <v>Total expenses for 3 months</v>
      </c>
      <c r="G13" s="498"/>
      <c r="H13" s="504">
        <f>H12*H11</f>
        <v>20939.419999999991</v>
      </c>
      <c r="I13" s="498"/>
      <c r="J13" s="506">
        <f>+J12*J11</f>
        <v>100318.25999999998</v>
      </c>
      <c r="K13" s="490"/>
      <c r="L13" s="229"/>
      <c r="N13" s="229"/>
      <c r="O13" s="231"/>
      <c r="P13" s="231"/>
      <c r="R13" s="231"/>
      <c r="S13" s="231"/>
      <c r="U13" s="231"/>
      <c r="V13" s="231"/>
      <c r="Y13" s="231"/>
      <c r="AA13" s="231"/>
      <c r="AB13" s="231"/>
      <c r="AC13" s="231"/>
      <c r="AD13" s="231"/>
      <c r="AJ13" s="229"/>
      <c r="AK13" s="229"/>
      <c r="AL13" s="229"/>
    </row>
    <row r="14" spans="2:46" ht="18" customHeight="1">
      <c r="D14" s="229"/>
      <c r="E14" s="229"/>
      <c r="F14" s="503" t="s">
        <v>425</v>
      </c>
      <c r="G14" s="501"/>
      <c r="H14" s="501"/>
      <c r="I14" s="501"/>
      <c r="J14" s="501"/>
      <c r="K14" s="490"/>
      <c r="L14" s="229"/>
      <c r="N14"/>
      <c r="O14"/>
      <c r="P14"/>
      <c r="R14"/>
      <c r="S14"/>
      <c r="U14"/>
      <c r="V14" s="231"/>
      <c r="Y14" s="290"/>
      <c r="AA14"/>
      <c r="AB14"/>
      <c r="AC14"/>
      <c r="AD14" s="231"/>
      <c r="AJ14" s="229"/>
      <c r="AK14"/>
      <c r="AL14"/>
      <c r="AM14"/>
      <c r="AN14"/>
      <c r="AO14"/>
      <c r="AP14"/>
      <c r="AQ14"/>
      <c r="AR14"/>
      <c r="AS14"/>
      <c r="AT14"/>
    </row>
    <row r="15" spans="2:46" ht="18" customHeight="1">
      <c r="B15" s="489"/>
      <c r="D15" s="231"/>
      <c r="E15" s="231"/>
      <c r="F15" s="495" t="s">
        <v>427</v>
      </c>
      <c r="G15" s="491"/>
      <c r="H15" s="241"/>
      <c r="I15" s="491"/>
      <c r="J15"/>
      <c r="K15" s="490"/>
      <c r="L15" s="229"/>
      <c r="N15"/>
      <c r="O15"/>
      <c r="P15"/>
      <c r="R15"/>
      <c r="S15"/>
      <c r="U15"/>
      <c r="Y15" s="290"/>
      <c r="AA15"/>
      <c r="AB15"/>
      <c r="AC15"/>
      <c r="AJ15" s="229"/>
      <c r="AK15"/>
      <c r="AL15"/>
      <c r="AM15"/>
      <c r="AN15"/>
      <c r="AO15"/>
      <c r="AP15"/>
      <c r="AQ15"/>
      <c r="AR15"/>
      <c r="AS15"/>
      <c r="AT15"/>
    </row>
    <row r="16" spans="2:46" ht="18" customHeight="1">
      <c r="B16" s="489"/>
      <c r="D16" s="231"/>
      <c r="E16" s="231"/>
      <c r="F16" s="530" t="s">
        <v>433</v>
      </c>
      <c r="G16" s="531"/>
      <c r="H16" s="241"/>
      <c r="I16" s="531"/>
      <c r="J16" s="532">
        <f>-IF(MIN(D5:O5)&gt;0,0,MIN(D5:O5))</f>
        <v>129384.79396907208</v>
      </c>
      <c r="K16" s="532"/>
      <c r="L16" s="229"/>
      <c r="N16"/>
      <c r="O16"/>
      <c r="P16"/>
      <c r="R16"/>
      <c r="S16"/>
      <c r="U16"/>
      <c r="Y16" s="290"/>
      <c r="AA16"/>
      <c r="AB16"/>
      <c r="AC16"/>
      <c r="AJ16" s="229"/>
      <c r="AK16"/>
      <c r="AL16"/>
      <c r="AM16"/>
      <c r="AN16"/>
      <c r="AO16"/>
      <c r="AP16"/>
      <c r="AQ16"/>
      <c r="AR16"/>
      <c r="AS16"/>
      <c r="AT16"/>
    </row>
    <row r="17" spans="2:63" ht="18" customHeight="1">
      <c r="B17" s="489"/>
      <c r="D17" s="231"/>
      <c r="E17" s="231"/>
      <c r="F17" s="228" t="s">
        <v>547</v>
      </c>
      <c r="J17" s="252">
        <v>0</v>
      </c>
      <c r="K17" s="490"/>
      <c r="L17" s="229"/>
      <c r="N17"/>
      <c r="O17"/>
      <c r="P17"/>
      <c r="R17"/>
      <c r="S17"/>
      <c r="U17"/>
      <c r="Y17" s="290"/>
      <c r="AA17"/>
      <c r="AB17"/>
      <c r="AC17"/>
      <c r="AJ17" s="229"/>
      <c r="AK17"/>
      <c r="AL17"/>
      <c r="AM17"/>
      <c r="AN17"/>
      <c r="AO17"/>
      <c r="AP17"/>
      <c r="AQ17"/>
      <c r="AR17"/>
      <c r="AS17"/>
      <c r="AT17"/>
    </row>
    <row r="18" spans="2:63" ht="18" customHeight="1">
      <c r="D18" s="493"/>
      <c r="E18" s="493"/>
      <c r="F18" s="529" t="s">
        <v>423</v>
      </c>
      <c r="G18" s="509"/>
      <c r="H18" s="509"/>
      <c r="I18" s="509"/>
      <c r="J18" s="510">
        <f>+J16-J17</f>
        <v>129384.79396907208</v>
      </c>
      <c r="K18" s="493"/>
      <c r="L18" s="493"/>
      <c r="M18" s="493"/>
      <c r="N18" s="493"/>
      <c r="O18" s="493"/>
      <c r="P18" s="493"/>
      <c r="R18" s="250"/>
      <c r="S18" s="250"/>
      <c r="U18" s="250"/>
    </row>
    <row r="19" spans="2:63" ht="18" customHeight="1">
      <c r="D19" s="493"/>
      <c r="E19" s="493"/>
      <c r="F19" s="493"/>
      <c r="G19" s="493"/>
      <c r="H19" s="493"/>
      <c r="I19" s="493"/>
      <c r="J19" s="493"/>
      <c r="K19" s="493"/>
      <c r="L19" s="493"/>
      <c r="M19" s="493"/>
      <c r="N19" s="493"/>
      <c r="O19" s="493"/>
      <c r="P19" s="493"/>
      <c r="R19" s="250"/>
      <c r="S19" s="250"/>
      <c r="U19" s="250"/>
    </row>
    <row r="20" spans="2:63" ht="18" customHeight="1">
      <c r="D20" s="493"/>
      <c r="E20" s="493"/>
      <c r="F20" s="493"/>
      <c r="G20" s="493"/>
      <c r="H20" s="493"/>
      <c r="I20" s="493"/>
      <c r="J20" s="493"/>
      <c r="K20" s="493"/>
      <c r="L20" s="493"/>
      <c r="M20" s="493"/>
      <c r="N20" s="493"/>
      <c r="O20" s="493"/>
      <c r="P20" s="493"/>
      <c r="R20" s="250"/>
      <c r="S20" s="250"/>
      <c r="U20" s="250"/>
      <c r="AW20"/>
      <c r="AX20"/>
      <c r="AY20"/>
    </row>
    <row r="21" spans="2:63" ht="19.5" customHeight="1" thickBot="1">
      <c r="B21"/>
      <c r="D21" s="231"/>
      <c r="E21" s="231"/>
      <c r="F21" s="231"/>
      <c r="G21"/>
      <c r="H21" s="241"/>
      <c r="I21"/>
      <c r="J21"/>
      <c r="L21"/>
      <c r="N21"/>
      <c r="O21" s="596" t="s">
        <v>89</v>
      </c>
      <c r="P21" s="285"/>
      <c r="Q21" s="285"/>
      <c r="R21" s="285"/>
      <c r="S21" s="285"/>
      <c r="T21" s="285"/>
      <c r="U21" s="285"/>
      <c r="V21" s="289"/>
      <c r="X21" s="291" t="s">
        <v>366</v>
      </c>
      <c r="Y21" s="285"/>
      <c r="Z21" s="593"/>
      <c r="AA21" s="285"/>
      <c r="AB21" s="285"/>
      <c r="AC21" s="285"/>
      <c r="AD21" s="286"/>
      <c r="AE21"/>
      <c r="AH21" s="228"/>
      <c r="AI21" s="229"/>
      <c r="AK21"/>
      <c r="AL21"/>
      <c r="AM21"/>
      <c r="AN21"/>
      <c r="AO21"/>
      <c r="AP21"/>
      <c r="AQ21"/>
      <c r="AR21"/>
      <c r="AS21"/>
      <c r="AT21"/>
      <c r="AU21"/>
      <c r="AV21"/>
      <c r="AW21"/>
      <c r="AX21"/>
      <c r="AY21"/>
      <c r="AZ21" s="248"/>
      <c r="BB21" s="247"/>
    </row>
    <row r="22" spans="2:63" ht="19.5" customHeight="1" thickBot="1">
      <c r="B22"/>
      <c r="D22"/>
      <c r="E22" s="243" t="s">
        <v>281</v>
      </c>
      <c r="F22" s="243"/>
      <c r="G22" s="243"/>
      <c r="H22"/>
      <c r="I22"/>
      <c r="J22"/>
      <c r="L22"/>
      <c r="N22"/>
      <c r="O22" s="281" t="s">
        <v>297</v>
      </c>
      <c r="P22" s="282"/>
      <c r="Q22" s="32"/>
      <c r="R22" s="587" t="s">
        <v>478</v>
      </c>
      <c r="S22" s="588"/>
      <c r="T22" s="32"/>
      <c r="U22" s="1099" t="s">
        <v>311</v>
      </c>
      <c r="V22" s="1099" t="s">
        <v>491</v>
      </c>
      <c r="X22" s="288" t="s">
        <v>297</v>
      </c>
      <c r="Y22" s="282"/>
      <c r="AA22" s="288" t="s">
        <v>478</v>
      </c>
      <c r="AB22" s="282"/>
      <c r="AC22" s="1101" t="s">
        <v>311</v>
      </c>
      <c r="AD22" s="1103" t="s">
        <v>491</v>
      </c>
      <c r="AH22" s="228"/>
      <c r="AI22"/>
      <c r="AK22"/>
      <c r="AL22"/>
      <c r="AM22" s="243" t="s">
        <v>84</v>
      </c>
      <c r="AN22" s="243"/>
      <c r="AO22" s="246"/>
      <c r="AP22" s="246"/>
      <c r="AQ22"/>
      <c r="AR22"/>
      <c r="AS22"/>
      <c r="AT22" s="617" t="s">
        <v>512</v>
      </c>
      <c r="AU22" s="617"/>
      <c r="AV22"/>
      <c r="AW22"/>
      <c r="AX22"/>
      <c r="AY22"/>
      <c r="AZ22"/>
      <c r="BB22" s="1000" t="s">
        <v>84</v>
      </c>
      <c r="BC22" s="1000"/>
      <c r="BD22" s="1000"/>
      <c r="BE22" s="1000"/>
      <c r="BF22" s="1000"/>
      <c r="BH22" s="1000" t="s">
        <v>728</v>
      </c>
      <c r="BI22" s="1001"/>
      <c r="BJ22" s="1001"/>
      <c r="BK22"/>
    </row>
    <row r="23" spans="2:63" ht="32.25" customHeight="1" thickTop="1" thickBot="1">
      <c r="B23"/>
      <c r="C23"/>
      <c r="D23" s="273" t="s">
        <v>543</v>
      </c>
      <c r="E23" s="273" t="s">
        <v>283</v>
      </c>
      <c r="F23" s="237" t="s">
        <v>282</v>
      </c>
      <c r="G23" s="246" t="s">
        <v>284</v>
      </c>
      <c r="H23" s="825" t="s">
        <v>641</v>
      </c>
      <c r="I23" s="827" t="s">
        <v>517</v>
      </c>
      <c r="J23" s="828" t="s">
        <v>282</v>
      </c>
      <c r="K23" s="260" t="s">
        <v>279</v>
      </c>
      <c r="L23"/>
      <c r="N23"/>
      <c r="O23" s="279" t="s">
        <v>477</v>
      </c>
      <c r="P23" s="582" t="s">
        <v>296</v>
      </c>
      <c r="Q23" s="32"/>
      <c r="R23" s="590" t="s">
        <v>477</v>
      </c>
      <c r="S23" s="577" t="s">
        <v>296</v>
      </c>
      <c r="T23" s="32"/>
      <c r="U23" s="1100"/>
      <c r="V23" s="1100"/>
      <c r="X23" s="280" t="s">
        <v>479</v>
      </c>
      <c r="Y23" s="594" t="s">
        <v>296</v>
      </c>
      <c r="AA23" s="280" t="s">
        <v>479</v>
      </c>
      <c r="AB23" s="283" t="s">
        <v>296</v>
      </c>
      <c r="AC23" s="1102"/>
      <c r="AD23" s="1104"/>
      <c r="AE23" s="262" t="s">
        <v>298</v>
      </c>
      <c r="AF23" s="262" t="s">
        <v>299</v>
      </c>
      <c r="AG23" s="262" t="s">
        <v>300</v>
      </c>
      <c r="AH23" s="262" t="s">
        <v>301</v>
      </c>
      <c r="AI23"/>
      <c r="AK23"/>
      <c r="AL23"/>
      <c r="AM23" s="273" t="s">
        <v>23</v>
      </c>
      <c r="AN23" s="237" t="s">
        <v>282</v>
      </c>
      <c r="AO23" s="651" t="s">
        <v>545</v>
      </c>
      <c r="AP23" s="653" t="s">
        <v>515</v>
      </c>
      <c r="AQ23" s="655" t="s">
        <v>546</v>
      </c>
      <c r="AR23" s="656" t="s">
        <v>285</v>
      </c>
      <c r="AS23" s="300" t="s">
        <v>312</v>
      </c>
      <c r="AT23" s="616" t="s">
        <v>513</v>
      </c>
      <c r="AU23" s="616" t="s">
        <v>514</v>
      </c>
      <c r="AV23" s="300" t="s">
        <v>287</v>
      </c>
      <c r="AW23" s="609" t="s">
        <v>445</v>
      </c>
      <c r="AX23" s="610" t="s">
        <v>494</v>
      </c>
      <c r="AY23" s="255" t="s">
        <v>515</v>
      </c>
      <c r="AZ23" s="253" t="s">
        <v>507</v>
      </c>
      <c r="BA23" s="999" t="s">
        <v>522</v>
      </c>
      <c r="BB23" s="998" t="s">
        <v>445</v>
      </c>
      <c r="BC23" s="998" t="s">
        <v>73</v>
      </c>
      <c r="BD23" s="998" t="s">
        <v>729</v>
      </c>
      <c r="BE23" s="998" t="s">
        <v>80</v>
      </c>
      <c r="BF23" s="998" t="s">
        <v>730</v>
      </c>
      <c r="BG23" s="996"/>
      <c r="BH23" s="997" t="s">
        <v>725</v>
      </c>
      <c r="BI23" s="997" t="s">
        <v>726</v>
      </c>
      <c r="BJ23" s="997" t="s">
        <v>727</v>
      </c>
      <c r="BK23"/>
    </row>
    <row r="24" spans="2:63" ht="36.65" customHeight="1" thickBot="1">
      <c r="B24" s="258" t="s">
        <v>257</v>
      </c>
      <c r="C24" s="258" t="s">
        <v>293</v>
      </c>
      <c r="D24" s="829" t="s">
        <v>542</v>
      </c>
      <c r="E24" s="829">
        <f>+'Balance Sheet'!B9</f>
        <v>132050</v>
      </c>
      <c r="F24" s="830">
        <f>+E24/$E$29</f>
        <v>2.2020995405691607E-2</v>
      </c>
      <c r="G24" s="831">
        <f>+H13</f>
        <v>20939.419999999991</v>
      </c>
      <c r="H24" s="843">
        <f>+G24-E24</f>
        <v>-111110.58000000002</v>
      </c>
      <c r="I24" s="823" t="str">
        <f>+H11&amp;" months of expenses"</f>
        <v>1 months of expenses</v>
      </c>
      <c r="J24" s="835">
        <f>+G24/$G$29</f>
        <v>3.4919111822631333E-3</v>
      </c>
      <c r="K24" s="308" t="s">
        <v>280</v>
      </c>
      <c r="L24" s="7">
        <f>+SUM(E24:E25)-SUM(G24:G25)</f>
        <v>221725.78603092793</v>
      </c>
      <c r="N24" s="258" t="s">
        <v>257</v>
      </c>
      <c r="O24" s="265">
        <f>MIN(H12/P11,1)</f>
        <v>1</v>
      </c>
      <c r="P24" s="578">
        <f>+O24*$P$11</f>
        <v>18813.52963917526</v>
      </c>
      <c r="Q24" s="32"/>
      <c r="R24" s="591">
        <f>(-'Cash Flow'!E63)/'Cash Flow'!$P$10</f>
        <v>0.16325648151410205</v>
      </c>
      <c r="S24" s="284">
        <f>+R24*('Cash Flow'!$P$10)</f>
        <v>38439.42</v>
      </c>
      <c r="T24" s="32"/>
      <c r="U24" s="581">
        <f>AH24</f>
        <v>38439.755481728796</v>
      </c>
      <c r="V24" s="580">
        <f>+U24-G24</f>
        <v>17500.335481728805</v>
      </c>
      <c r="X24" s="549">
        <f>O24</f>
        <v>1</v>
      </c>
      <c r="Y24" s="595" t="s">
        <v>280</v>
      </c>
      <c r="AA24" s="549">
        <f>+R24</f>
        <v>0.16325648151410205</v>
      </c>
      <c r="AB24" s="309" t="s">
        <v>280</v>
      </c>
      <c r="AC24" s="310" t="s">
        <v>280</v>
      </c>
      <c r="AD24" s="310" t="s">
        <v>280</v>
      </c>
      <c r="AE24" s="7">
        <f>+G24</f>
        <v>20939.419999999991</v>
      </c>
      <c r="AF24" s="263"/>
      <c r="AG24" s="7"/>
      <c r="AH24" s="252">
        <f>+'Cash Flow'!BA77</f>
        <v>38439.755481728796</v>
      </c>
      <c r="AI24" s="232"/>
      <c r="AK24" s="258" t="s">
        <v>257</v>
      </c>
      <c r="AL24" s="258" t="s">
        <v>293</v>
      </c>
      <c r="AM24" s="292">
        <f t="shared" ref="AM24:AN27" si="1">+E24</f>
        <v>132050</v>
      </c>
      <c r="AN24" s="240">
        <f t="shared" si="1"/>
        <v>2.2020995405691607E-2</v>
      </c>
      <c r="AO24" s="652">
        <f>+BB24</f>
        <v>9.4850435441120784E-5</v>
      </c>
      <c r="AP24" s="652">
        <f>+BD24</f>
        <v>5.0270730783794018E-5</v>
      </c>
      <c r="AQ24" s="296">
        <f>+G24</f>
        <v>20939.419999999991</v>
      </c>
      <c r="AR24" s="657">
        <f>+AQ24</f>
        <v>20939.419999999991</v>
      </c>
      <c r="AS24" s="301">
        <f>+G24-E24</f>
        <v>-111110.58000000002</v>
      </c>
      <c r="AT24" s="325">
        <f>+P24</f>
        <v>18813.52963917526</v>
      </c>
      <c r="AU24" s="325">
        <f>S24</f>
        <v>38439.42</v>
      </c>
      <c r="AV24" s="244" t="s">
        <v>492</v>
      </c>
      <c r="AW24" s="611">
        <v>4.3099999999999999E-2</v>
      </c>
      <c r="AX24" s="325">
        <f>'Cash Flow'!BA83</f>
        <v>2.9717967226274915</v>
      </c>
      <c r="AY24" s="256">
        <f>AW24*(1-'Cash Flow'!BB9)</f>
        <v>2.2843000000000002E-2</v>
      </c>
      <c r="AZ24" s="604">
        <f>'Cash Flow'!BA89</f>
        <v>1.5750522629925705</v>
      </c>
      <c r="BA24" s="618">
        <f>1-AZ24/AX24</f>
        <v>0.47</v>
      </c>
      <c r="BB24" s="619">
        <f>+'Balance Sheet'!E9</f>
        <v>9.4850435441120784E-5</v>
      </c>
      <c r="BC24" s="620">
        <f>'Cash Flow'!AZ83</f>
        <v>12.711133992816297</v>
      </c>
      <c r="BD24" s="621">
        <f>+BB24*(1-'Cash Flow'!$BB$9)</f>
        <v>5.0270730783794018E-5</v>
      </c>
      <c r="BE24" s="625">
        <f>'Cash Flow'!AZ89</f>
        <v>6.7369010161926397</v>
      </c>
      <c r="BF24" s="618">
        <f>1-BE24/BC24</f>
        <v>0.46999999999999986</v>
      </c>
      <c r="BH24" s="992">
        <f>+(AY24-AP24)*AQ24</f>
        <v>477.26653111441107</v>
      </c>
      <c r="BI24" s="252">
        <f>+(AR24-AM24)*AP24</f>
        <v>-5.5856100544112088</v>
      </c>
      <c r="BK24"/>
    </row>
    <row r="25" spans="2:63" ht="36.65" customHeight="1" thickBot="1">
      <c r="B25" s="259" t="s">
        <v>290</v>
      </c>
      <c r="C25" s="259" t="s">
        <v>304</v>
      </c>
      <c r="D25" s="832" t="s">
        <v>544</v>
      </c>
      <c r="E25" s="832">
        <f>+'Balance Sheet'!B13</f>
        <v>240000</v>
      </c>
      <c r="F25" s="833">
        <f>+E25/$E$29</f>
        <v>4.0023013232608748E-2</v>
      </c>
      <c r="G25" s="831">
        <f>+J18</f>
        <v>129384.79396907208</v>
      </c>
      <c r="H25" s="843">
        <f t="shared" ref="H25:H28" si="2">+G25-E25</f>
        <v>-110615.20603092792</v>
      </c>
      <c r="I25" s="823" t="s">
        <v>652</v>
      </c>
      <c r="J25" s="835">
        <f>+G25/$G$29</f>
        <v>2.1576538838010535E-2</v>
      </c>
      <c r="K25" s="308" t="s">
        <v>280</v>
      </c>
      <c r="L25"/>
      <c r="N25" s="259" t="s">
        <v>290</v>
      </c>
      <c r="O25" s="266">
        <v>0</v>
      </c>
      <c r="P25" s="579">
        <f>+O25*$P$11</f>
        <v>0</v>
      </c>
      <c r="Q25" s="32"/>
      <c r="R25" s="591">
        <f>G25/'Cash Flow'!$P$10</f>
        <v>0.54951157496178971</v>
      </c>
      <c r="S25" s="284">
        <f>+R25*('Cash Flow'!$P$10)</f>
        <v>129384.79396907208</v>
      </c>
      <c r="T25" s="32"/>
      <c r="U25" s="581">
        <f>AH25</f>
        <v>129539.36467431458</v>
      </c>
      <c r="V25" s="580">
        <f>+U25-G25</f>
        <v>154.57070524249866</v>
      </c>
      <c r="X25" s="550">
        <f>O25</f>
        <v>0</v>
      </c>
      <c r="Y25" s="595" t="s">
        <v>280</v>
      </c>
      <c r="AA25" s="550">
        <f t="shared" ref="AA25:AA27" si="3">+R25</f>
        <v>0.54951157496178971</v>
      </c>
      <c r="AB25" s="309" t="s">
        <v>280</v>
      </c>
      <c r="AC25" s="310" t="s">
        <v>280</v>
      </c>
      <c r="AD25" s="310" t="s">
        <v>280</v>
      </c>
      <c r="AE25" s="7">
        <f>+G25</f>
        <v>129384.79396907208</v>
      </c>
      <c r="AF25" s="263"/>
      <c r="AG25" s="7"/>
      <c r="AH25" s="252">
        <f>+'Cash Flow'!BA78</f>
        <v>129539.36467431458</v>
      </c>
      <c r="AI25" s="232"/>
      <c r="AK25" s="259" t="s">
        <v>290</v>
      </c>
      <c r="AL25" s="259" t="s">
        <v>303</v>
      </c>
      <c r="AM25" s="293">
        <f t="shared" si="1"/>
        <v>240000</v>
      </c>
      <c r="AN25" s="238">
        <f t="shared" si="1"/>
        <v>4.0023013232608748E-2</v>
      </c>
      <c r="AO25" s="652">
        <f t="shared" ref="AO25:AO27" si="4">+BB25</f>
        <v>3.6581250000000003E-2</v>
      </c>
      <c r="AP25" s="652">
        <f t="shared" ref="AP25:AP27" si="5">+BD25</f>
        <v>1.9388062500000001E-2</v>
      </c>
      <c r="AQ25" s="296">
        <f>+G25</f>
        <v>129384.79396907208</v>
      </c>
      <c r="AR25" s="297">
        <f>+AQ25</f>
        <v>129384.79396907208</v>
      </c>
      <c r="AS25" s="302">
        <f>+G25-E25</f>
        <v>-110615.20603092792</v>
      </c>
      <c r="AT25" s="326">
        <f>+P25</f>
        <v>0</v>
      </c>
      <c r="AU25" s="326">
        <f>S25</f>
        <v>129384.79396907208</v>
      </c>
      <c r="AV25" s="245" t="s">
        <v>516</v>
      </c>
      <c r="AW25" s="612">
        <v>4.2999999999999997E-2</v>
      </c>
      <c r="AX25" s="326">
        <f>'Cash Flow'!BA84</f>
        <v>2094.1004577676676</v>
      </c>
      <c r="AY25" s="257">
        <f>AW25*(1-'Cash Flow'!BB8)</f>
        <v>2.7949999999999999E-2</v>
      </c>
      <c r="AZ25" s="605">
        <f>'Cash Flow'!BA90</f>
        <v>1361.1652975489849</v>
      </c>
      <c r="BA25" s="618">
        <f t="shared" ref="BA25:BA27" si="6">1-AZ25/AX25</f>
        <v>0.34999999999999953</v>
      </c>
      <c r="BB25" s="619">
        <f>+'Balance Sheet'!E13</f>
        <v>3.6581250000000003E-2</v>
      </c>
      <c r="BC25" s="620">
        <f>'Cash Flow'!AZ84</f>
        <v>6148.8256731719202</v>
      </c>
      <c r="BD25" s="621">
        <f>+BB25*(1-'Cash Flow'!$BB$9)</f>
        <v>1.9388062500000001E-2</v>
      </c>
      <c r="BE25" s="625">
        <f>'Cash Flow'!AZ90</f>
        <v>3258.8776067811186</v>
      </c>
      <c r="BF25" s="618">
        <f t="shared" ref="BF25:BF27" si="7">1-BE25/BC25</f>
        <v>0.46999999999999986</v>
      </c>
      <c r="BG25" s="251"/>
      <c r="BH25" s="992">
        <f>+(AY25-AP25)*AQ25</f>
        <v>1107.7845194135718</v>
      </c>
      <c r="BI25" s="252">
        <f>+(AR25-AM25)*AP25</f>
        <v>-2144.6145279780076</v>
      </c>
    </row>
    <row r="26" spans="2:63" ht="36.65" customHeight="1" thickBot="1">
      <c r="B26" s="236" t="s">
        <v>289</v>
      </c>
      <c r="C26" s="236" t="s">
        <v>428</v>
      </c>
      <c r="D26" s="834" t="s">
        <v>6</v>
      </c>
      <c r="E26" s="834">
        <f>+'Balance Sheet'!B15</f>
        <v>135000</v>
      </c>
      <c r="F26" s="833">
        <f>+E26/$E$29</f>
        <v>2.2512944943342422E-2</v>
      </c>
      <c r="G26" s="831">
        <f ca="1">+'Rent vs. Buy'!C19</f>
        <v>194041.71121010487</v>
      </c>
      <c r="H26" s="843">
        <f t="shared" ca="1" si="2"/>
        <v>59041.71121010487</v>
      </c>
      <c r="I26" s="823" t="s">
        <v>653</v>
      </c>
      <c r="J26" s="835">
        <f ca="1">+G26/$G$29</f>
        <v>3.2358891564333636E-2</v>
      </c>
      <c r="K26" s="308" t="s">
        <v>280</v>
      </c>
      <c r="L26"/>
      <c r="N26" s="236" t="s">
        <v>289</v>
      </c>
      <c r="O26" s="266">
        <f>1-O25-O24</f>
        <v>0</v>
      </c>
      <c r="P26" s="579">
        <f>+O26*$P$11</f>
        <v>0</v>
      </c>
      <c r="Q26" s="32"/>
      <c r="R26" s="591">
        <f>1-SUM(R24:R25)</f>
        <v>0.28723194352410819</v>
      </c>
      <c r="S26" s="284">
        <f>+R26*('Cash Flow'!$P$10)</f>
        <v>67629.960000000079</v>
      </c>
      <c r="T26" s="32"/>
      <c r="U26" s="581">
        <f>AH26</f>
        <v>138507.20569999999</v>
      </c>
      <c r="V26" s="580">
        <f ca="1">+U26-G26</f>
        <v>-55534.505510104878</v>
      </c>
      <c r="X26" s="549">
        <f>O26</f>
        <v>0</v>
      </c>
      <c r="Y26" s="595" t="s">
        <v>280</v>
      </c>
      <c r="AA26" s="549">
        <f t="shared" si="3"/>
        <v>0.28723194352410819</v>
      </c>
      <c r="AB26" s="309" t="s">
        <v>280</v>
      </c>
      <c r="AC26" s="310" t="s">
        <v>280</v>
      </c>
      <c r="AD26" s="310" t="s">
        <v>280</v>
      </c>
      <c r="AE26" s="7">
        <f ca="1">+G26</f>
        <v>194041.71121010487</v>
      </c>
      <c r="AF26" s="263"/>
      <c r="AG26" s="7"/>
      <c r="AH26" s="252">
        <f>+'Cash Flow'!BA79</f>
        <v>138507.20569999999</v>
      </c>
      <c r="AI26" s="232"/>
      <c r="AK26" s="236" t="s">
        <v>289</v>
      </c>
      <c r="AL26" s="270" t="s">
        <v>295</v>
      </c>
      <c r="AM26" s="294">
        <f t="shared" si="1"/>
        <v>135000</v>
      </c>
      <c r="AN26" s="238">
        <f t="shared" si="1"/>
        <v>2.2512944943342422E-2</v>
      </c>
      <c r="AO26" s="652">
        <f t="shared" si="4"/>
        <v>3.95E-2</v>
      </c>
      <c r="AP26" s="652">
        <f t="shared" si="5"/>
        <v>2.5675E-2</v>
      </c>
      <c r="AQ26" s="296">
        <f ca="1">+G26</f>
        <v>194041.71121010487</v>
      </c>
      <c r="AR26" s="298">
        <f ca="1">+AQ26</f>
        <v>194041.71121010487</v>
      </c>
      <c r="AS26" s="302">
        <f ca="1">+G26-E26</f>
        <v>59041.71121010487</v>
      </c>
      <c r="AT26" s="326">
        <f>+P26</f>
        <v>0</v>
      </c>
      <c r="AU26" s="326">
        <f>S26</f>
        <v>67629.960000000079</v>
      </c>
      <c r="AV26" s="242" t="s">
        <v>506</v>
      </c>
      <c r="AW26" s="613">
        <f>(4%+2.67%)/2</f>
        <v>3.3349999999999998E-2</v>
      </c>
      <c r="AX26" s="326">
        <f>'Cash Flow'!BA85</f>
        <v>5395.701008160604</v>
      </c>
      <c r="AY26" s="257">
        <f>(4%*(1-'Cash Flow'!BB8)+2.67%)/2</f>
        <v>2.6349999999999998E-2</v>
      </c>
      <c r="AZ26" s="605">
        <f>'Cash Flow'!BA91</f>
        <v>3507.2056553043926</v>
      </c>
      <c r="BA26" s="618">
        <f t="shared" si="6"/>
        <v>0.35</v>
      </c>
      <c r="BB26" s="619">
        <f>'Balance Sheet'!E15</f>
        <v>3.95E-2</v>
      </c>
      <c r="BC26" s="620">
        <f>'Cash Flow'!AZ85</f>
        <v>5395.701008160604</v>
      </c>
      <c r="BD26" s="621">
        <f>+BB26*(1-'Cash Flow'!BB8)</f>
        <v>2.5675E-2</v>
      </c>
      <c r="BE26" s="625">
        <f>'Cash Flow'!AZ91</f>
        <v>3507.2056553043926</v>
      </c>
      <c r="BF26" s="618">
        <f t="shared" si="7"/>
        <v>0.35</v>
      </c>
      <c r="BH26" s="992">
        <f ca="1">+(AY26-AP26)*AQ26</f>
        <v>130.97815506682051</v>
      </c>
      <c r="BI26" s="252">
        <f ca="1">+(AR26-AM26)*AP26</f>
        <v>1515.8959353194425</v>
      </c>
    </row>
    <row r="27" spans="2:63" ht="36.65" customHeight="1" thickBot="1">
      <c r="B27" s="268" t="s">
        <v>291</v>
      </c>
      <c r="C27" s="269" t="s">
        <v>550</v>
      </c>
      <c r="D27" s="834"/>
      <c r="E27" s="834">
        <f>+'Balance Sheet'!B16+'Balance Sheet'!B17+'Balance Sheet'!B18+'Balance Sheet'!B36</f>
        <v>2509500</v>
      </c>
      <c r="F27" s="833">
        <f>+E27/$E$29</f>
        <v>0.41849063211346527</v>
      </c>
      <c r="G27" s="831">
        <f ca="1">+G29-SUM(G24:G26,G28)</f>
        <v>2672184.074820823</v>
      </c>
      <c r="H27" s="843">
        <f t="shared" ca="1" si="2"/>
        <v>162684.07482082304</v>
      </c>
      <c r="I27" s="823" t="s">
        <v>294</v>
      </c>
      <c r="J27" s="835">
        <f ca="1">+G27/$G$29</f>
        <v>0.44562024411050072</v>
      </c>
      <c r="K27" s="308" t="s">
        <v>280</v>
      </c>
      <c r="L27"/>
      <c r="N27" s="268" t="s">
        <v>291</v>
      </c>
      <c r="O27" s="267">
        <f>100%-SUM(O24:O26)</f>
        <v>0</v>
      </c>
      <c r="P27" s="579">
        <f>+O27*$P$11</f>
        <v>0</v>
      </c>
      <c r="Q27" s="32"/>
      <c r="R27" s="591">
        <v>0</v>
      </c>
      <c r="S27" s="284">
        <f>+R27*('Cash Flow'!$P$7+'Cash Flow'!$P$9)</f>
        <v>0</v>
      </c>
      <c r="T27" s="32"/>
      <c r="U27" s="581">
        <f ca="1">+AG27</f>
        <v>2865356.4776523663</v>
      </c>
      <c r="V27" s="580">
        <f ca="1">+U27-G27</f>
        <v>193172.40283154324</v>
      </c>
      <c r="X27" s="550">
        <f>O27</f>
        <v>0</v>
      </c>
      <c r="Y27" s="595" t="s">
        <v>280</v>
      </c>
      <c r="AA27" s="550">
        <f t="shared" si="3"/>
        <v>0</v>
      </c>
      <c r="AB27" s="309" t="s">
        <v>280</v>
      </c>
      <c r="AC27" s="310" t="s">
        <v>280</v>
      </c>
      <c r="AD27" s="310" t="s">
        <v>280</v>
      </c>
      <c r="AE27" s="7">
        <f ca="1">+G27</f>
        <v>2672184.074820823</v>
      </c>
      <c r="AF27" s="263">
        <f>+P27/1000*12</f>
        <v>0</v>
      </c>
      <c r="AG27" s="7">
        <f ca="1">FV(AW27/12,12,-P27,-AE27,0)</f>
        <v>2865356.4776523663</v>
      </c>
      <c r="AH27" s="252">
        <f ca="1">+AE27+AF27</f>
        <v>2672184.074820823</v>
      </c>
      <c r="AI27" s="232"/>
      <c r="AK27" s="268" t="s">
        <v>291</v>
      </c>
      <c r="AL27" s="269" t="s">
        <v>302</v>
      </c>
      <c r="AM27" s="294">
        <f t="shared" si="1"/>
        <v>2509500</v>
      </c>
      <c r="AN27" s="238">
        <f t="shared" si="1"/>
        <v>0.41849063211346527</v>
      </c>
      <c r="AO27" s="654">
        <f t="shared" si="4"/>
        <v>7.0000000000000007E-2</v>
      </c>
      <c r="AP27" s="654">
        <f t="shared" si="5"/>
        <v>5.6000000000000008E-2</v>
      </c>
      <c r="AQ27" s="296">
        <f ca="1">+G27</f>
        <v>2672184.074820823</v>
      </c>
      <c r="AR27" s="298">
        <f ca="1">+AQ27</f>
        <v>2672184.074820823</v>
      </c>
      <c r="AS27" s="303">
        <f ca="1">+G27-E27</f>
        <v>162684.07482082304</v>
      </c>
      <c r="AT27" s="326">
        <f>+P27</f>
        <v>0</v>
      </c>
      <c r="AU27" s="326">
        <f>S27</f>
        <v>0</v>
      </c>
      <c r="AV27" s="242" t="s">
        <v>288</v>
      </c>
      <c r="AW27" s="614">
        <v>7.0000000000000007E-2</v>
      </c>
      <c r="AX27" s="326">
        <f ca="1">+AW27*AQ27</f>
        <v>187052.88523745764</v>
      </c>
      <c r="AY27" s="304">
        <f>7%*(1-'Cash Flow'!BB15)</f>
        <v>5.6000000000000008E-2</v>
      </c>
      <c r="AZ27" s="606">
        <f t="shared" ref="AZ27" ca="1" si="8">+AY27*AR27</f>
        <v>149642.3081899661</v>
      </c>
      <c r="BA27" s="618">
        <f t="shared" ca="1" si="6"/>
        <v>0.20000000000000007</v>
      </c>
      <c r="BB27" s="621">
        <f>+AW27</f>
        <v>7.0000000000000007E-2</v>
      </c>
      <c r="BC27" s="622">
        <f>+BB27*AM27</f>
        <v>175665.00000000003</v>
      </c>
      <c r="BD27" s="621">
        <f>+BB27*(1-'Cash Flow'!BB15)</f>
        <v>5.6000000000000008E-2</v>
      </c>
      <c r="BE27" s="623">
        <f>+BD27*AM27</f>
        <v>140532.00000000003</v>
      </c>
      <c r="BF27" s="618">
        <f t="shared" si="7"/>
        <v>0.19999999999999996</v>
      </c>
      <c r="BH27" s="992">
        <f ca="1">+(AY27-AP27)*AQ27</f>
        <v>0</v>
      </c>
      <c r="BJ27" s="991">
        <f ca="1">+AZ29-BI28-BH28</f>
        <v>6125.7090290988963</v>
      </c>
    </row>
    <row r="28" spans="2:63" ht="29.25" customHeight="1" thickBot="1">
      <c r="B28" s="773" t="s">
        <v>605</v>
      </c>
      <c r="C28" s="773" t="s">
        <v>606</v>
      </c>
      <c r="D28" s="834"/>
      <c r="E28" s="834">
        <f>'Balance Sheet'!B22+'Balance Sheet'!B29+'Balance Sheet'!B33</f>
        <v>2980000</v>
      </c>
      <c r="F28" s="833">
        <f>+E28/$E$29</f>
        <v>0.49695241430489195</v>
      </c>
      <c r="G28" s="831">
        <f>+E28</f>
        <v>2980000</v>
      </c>
      <c r="H28" s="843">
        <f t="shared" si="2"/>
        <v>0</v>
      </c>
      <c r="I28" s="823" t="s">
        <v>294</v>
      </c>
      <c r="J28" s="835">
        <f>+G28/$G$29</f>
        <v>0.49695241430489195</v>
      </c>
      <c r="K28" s="308" t="s">
        <v>280</v>
      </c>
      <c r="L28"/>
      <c r="N28" s="271" t="s">
        <v>31</v>
      </c>
      <c r="O28" s="583">
        <f>SUM(O24:O27)</f>
        <v>1</v>
      </c>
      <c r="P28" s="584">
        <f>SUM(P24:P27)</f>
        <v>18813.52963917526</v>
      </c>
      <c r="Q28" s="32"/>
      <c r="R28" s="592"/>
      <c r="S28" s="585">
        <f>SUM(S24:S27)</f>
        <v>235454.17396907217</v>
      </c>
      <c r="T28" s="32"/>
      <c r="U28" s="586">
        <f ca="1">SUM(U24:U27)</f>
        <v>3171842.8035084098</v>
      </c>
      <c r="V28" s="589">
        <f ca="1">SUM(V24:V27)</f>
        <v>155292.80350840965</v>
      </c>
      <c r="X28" s="287"/>
      <c r="Y28" s="264"/>
      <c r="AA28" s="264"/>
      <c r="AB28" s="264"/>
      <c r="AC28" s="264"/>
      <c r="AD28" s="264"/>
      <c r="AE28"/>
      <c r="AH28" s="228"/>
      <c r="AI28" s="229"/>
      <c r="AK28" s="233" t="str">
        <f>+N28</f>
        <v>Total</v>
      </c>
      <c r="AL28" s="234" t="e">
        <f>+#REF!</f>
        <v>#REF!</v>
      </c>
      <c r="AM28" s="295">
        <f>SUM(AM24:AM27)</f>
        <v>3016550</v>
      </c>
      <c r="AN28" s="239">
        <f>SUM(AN24:AN27)</f>
        <v>0.50304758569510799</v>
      </c>
      <c r="AO28" s="239"/>
      <c r="AP28" s="239"/>
      <c r="AQ28" s="299">
        <f ca="1">+SUM(AQ24:AQ27)</f>
        <v>3016550</v>
      </c>
      <c r="AR28" s="307">
        <f ca="1">+SUM(AR24:AR27)</f>
        <v>3016550</v>
      </c>
      <c r="AS28" s="305" t="s">
        <v>278</v>
      </c>
      <c r="AT28" s="327">
        <f>SUM(AT24:AT27)</f>
        <v>18813.52963917526</v>
      </c>
      <c r="AU28" s="327">
        <f>SUM(AU24:AU27)</f>
        <v>235454.17396907217</v>
      </c>
      <c r="AV28" s="249"/>
      <c r="AW28" s="615"/>
      <c r="AX28" s="624">
        <f ca="1">+SUM(AX24:AX27)</f>
        <v>194545.65850010855</v>
      </c>
      <c r="AY28" s="306"/>
      <c r="AZ28" s="254">
        <f ca="1">+SUM(AZ24:AZ27)</f>
        <v>154512.25419508247</v>
      </c>
      <c r="BA28" s="1002"/>
      <c r="BB28" s="1002"/>
      <c r="BC28" s="1003">
        <f>SUM(BC24:BC27)</f>
        <v>187222.23781532538</v>
      </c>
      <c r="BD28" s="1003"/>
      <c r="BE28" s="1003">
        <f>SUM(BE24:BE27)</f>
        <v>147304.82016310174</v>
      </c>
      <c r="BF28" s="1002"/>
      <c r="BG28" s="1002"/>
      <c r="BH28" s="1004">
        <f ca="1">SUM(BH24:BH27)</f>
        <v>1716.0292055948034</v>
      </c>
      <c r="BI28" s="1004">
        <f ca="1">SUM(BI24:BI27)</f>
        <v>-634.30420271297612</v>
      </c>
      <c r="BJ28" s="1004">
        <f ca="1">SUM(BJ24:BJ27)</f>
        <v>6125.7090290988963</v>
      </c>
    </row>
    <row r="29" spans="2:63" ht="36.75" customHeight="1" thickBot="1">
      <c r="B29" s="821" t="s">
        <v>31</v>
      </c>
      <c r="C29" s="272"/>
      <c r="D29" s="822"/>
      <c r="E29" s="837">
        <f>SUM(E24:E28)</f>
        <v>5996550</v>
      </c>
      <c r="F29" s="838">
        <f>SUM(F24:F28)</f>
        <v>1</v>
      </c>
      <c r="G29" s="839">
        <f>+E29</f>
        <v>5996550</v>
      </c>
      <c r="H29" s="826"/>
      <c r="I29" s="824"/>
      <c r="J29" s="836">
        <f ca="1">SUM(J24:J28)</f>
        <v>1</v>
      </c>
      <c r="K29" s="261"/>
      <c r="L29"/>
      <c r="N29"/>
      <c r="O29"/>
      <c r="P29"/>
      <c r="Q29" s="32"/>
      <c r="R29"/>
      <c r="S29"/>
      <c r="T29" s="32"/>
      <c r="U29"/>
      <c r="V29"/>
      <c r="X29" s="37"/>
      <c r="Y29"/>
      <c r="AA29"/>
      <c r="AB29"/>
      <c r="AC29"/>
      <c r="AD29"/>
      <c r="AE29"/>
      <c r="AG29" s="11">
        <f ca="1">+AG27/AE27-1</f>
        <v>7.2290080856235894E-2</v>
      </c>
      <c r="AJ29" s="229"/>
      <c r="AK29" s="229"/>
      <c r="AL29" s="229"/>
      <c r="AV29" s="228" t="s">
        <v>510</v>
      </c>
      <c r="AX29" s="252">
        <f ca="1">+AX28-BC28</f>
        <v>7323.4206847831665</v>
      </c>
      <c r="AY29"/>
      <c r="AZ29" s="7">
        <f ca="1">+AZ28-BE28</f>
        <v>7207.4340319807234</v>
      </c>
      <c r="BA29" s="252"/>
      <c r="BD29" s="228" t="s">
        <v>722</v>
      </c>
    </row>
    <row r="30" spans="2:63" ht="53.15" customHeight="1" thickTop="1">
      <c r="B30" s="229"/>
      <c r="C30" s="235"/>
      <c r="D30" s="488"/>
      <c r="E30" s="488"/>
      <c r="F30" s="235"/>
      <c r="G30" s="235"/>
      <c r="H30" s="235" t="s">
        <v>419</v>
      </c>
      <c r="I30" s="235"/>
      <c r="L30" s="229"/>
      <c r="N30"/>
      <c r="O30"/>
      <c r="P30"/>
      <c r="R30"/>
      <c r="S30"/>
      <c r="T30" s="32"/>
      <c r="U30"/>
      <c r="V30"/>
      <c r="X30"/>
      <c r="Y30"/>
      <c r="AA30"/>
      <c r="AB30"/>
      <c r="AC30"/>
      <c r="AD30"/>
      <c r="AE30"/>
      <c r="AJ30" s="229"/>
      <c r="AK30" s="229"/>
      <c r="AL30" s="229"/>
      <c r="AV30" s="235" t="s">
        <v>511</v>
      </c>
      <c r="AX30" s="252">
        <f>+SUM(AX24:AX26)-SUM(BC24:BC26)</f>
        <v>-4064.4645526744425</v>
      </c>
      <c r="AZ30" s="608">
        <f>SUM(AZ24:AZ26)-SUM(BE24:BE26)</f>
        <v>-1902.874157985334</v>
      </c>
      <c r="BA30"/>
      <c r="BE30"/>
      <c r="BH30" s="993" t="s">
        <v>723</v>
      </c>
      <c r="BI30" s="993"/>
      <c r="BJ30" s="994">
        <f ca="1">+BJ27+BI28</f>
        <v>5491.4048263859204</v>
      </c>
    </row>
    <row r="31" spans="2:63" ht="36.75" customHeight="1">
      <c r="B31" s="229"/>
      <c r="C31" s="229"/>
      <c r="D31" s="229"/>
      <c r="E31" s="229"/>
      <c r="G31"/>
      <c r="H31" s="229" t="s">
        <v>420</v>
      </c>
      <c r="I31"/>
      <c r="J31"/>
      <c r="L31" s="229"/>
      <c r="N31"/>
      <c r="O31"/>
      <c r="P31"/>
      <c r="R31"/>
      <c r="S31"/>
      <c r="T31" s="32"/>
      <c r="U31"/>
      <c r="V31"/>
      <c r="X31"/>
      <c r="Y31"/>
      <c r="AA31"/>
      <c r="AB31"/>
      <c r="AC31"/>
      <c r="AD31"/>
      <c r="AE31"/>
      <c r="AJ31" s="229"/>
      <c r="AK31" s="229"/>
      <c r="AL31" s="229"/>
      <c r="AV31" s="235" t="s">
        <v>508</v>
      </c>
      <c r="AW31" s="251">
        <f ca="1">SUM(AX24:AX26)/SUM(AQ24:AQ26)</f>
        <v>2.1758172672724039E-2</v>
      </c>
      <c r="AX31"/>
      <c r="AY31"/>
      <c r="AZ31" s="251">
        <f ca="1">SUM(AZ24:AZ26)/SUM(AQ24:AQ26)</f>
        <v>1.4141776665570175E-2</v>
      </c>
      <c r="BA31"/>
      <c r="BB31" s="251" cm="1">
        <f t="array" ref="BB31">SUM(BC24:BC26/SUM(AM24:AM26))</f>
        <v>2.2793093019081632E-2</v>
      </c>
      <c r="BC31"/>
      <c r="BD31" s="251" cm="1">
        <f t="array" ref="BD31">SUM(BE24:BE26/SUM(AM24:AM26))</f>
        <v>1.3357302362886705E-2</v>
      </c>
      <c r="BE31"/>
      <c r="BH31" s="993" t="s">
        <v>724</v>
      </c>
      <c r="BI31" s="993"/>
      <c r="BJ31" s="995">
        <f ca="1">+BH28</f>
        <v>1716.0292055948034</v>
      </c>
    </row>
    <row r="32" spans="2:63" ht="36.75" customHeight="1">
      <c r="B32" s="229"/>
      <c r="C32" s="229"/>
      <c r="D32" s="229"/>
      <c r="E32" s="755"/>
      <c r="G32"/>
      <c r="H32" s="229"/>
      <c r="I32"/>
      <c r="J32"/>
      <c r="N32"/>
      <c r="T32" s="32"/>
      <c r="AV32" s="228" t="s">
        <v>509</v>
      </c>
      <c r="AW32" s="11">
        <f ca="1">AW31-BB31</f>
        <v>-1.0349203463575936E-3</v>
      </c>
      <c r="AX32"/>
      <c r="AY32"/>
      <c r="AZ32" s="11">
        <f ca="1">AZ31-BE30</f>
        <v>1.4141776665570175E-2</v>
      </c>
      <c r="BC32"/>
    </row>
    <row r="33" spans="2:20" ht="36.75" customHeight="1">
      <c r="B33" s="228" t="s">
        <v>28</v>
      </c>
      <c r="E33" s="252">
        <f>+E29+E32</f>
        <v>5996550</v>
      </c>
      <c r="G33"/>
      <c r="I33"/>
      <c r="J33"/>
      <c r="N33"/>
      <c r="T33" s="32"/>
    </row>
    <row r="34" spans="2:20" ht="36.75" customHeight="1">
      <c r="E34" s="228" t="b">
        <f>+E33='Balance Sheet'!B37</f>
        <v>1</v>
      </c>
      <c r="G34"/>
      <c r="I34"/>
      <c r="J34"/>
      <c r="T34" s="32"/>
    </row>
  </sheetData>
  <mergeCells count="4">
    <mergeCell ref="U22:U23"/>
    <mergeCell ref="V22:V23"/>
    <mergeCell ref="AC22:AC23"/>
    <mergeCell ref="AD22:AD23"/>
  </mergeCells>
  <conditionalFormatting sqref="D5:D9 D18:D20 D5:O5">
    <cfRule type="top10" dxfId="6" priority="33" bottom="1" rank="1"/>
  </conditionalFormatting>
  <conditionalFormatting sqref="E18 K18:P18 E7:P9 E19:P20 E5:O6">
    <cfRule type="top10" dxfId="5" priority="36" bottom="1" rank="1"/>
  </conditionalFormatting>
  <pageMargins left="0.7" right="0.7" top="0.75" bottom="0.75" header="0.3" footer="0.3"/>
  <pageSetup orientation="portrait" r:id="rId1"/>
  <ignoredErrors>
    <ignoredError sqref="AY24:AY25 AY27"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15734-E4EB-4625-B63D-FFA94D3735AD}">
  <dimension ref="A3:J59"/>
  <sheetViews>
    <sheetView workbookViewId="0">
      <selection activeCell="K1" sqref="K1"/>
    </sheetView>
  </sheetViews>
  <sheetFormatPr defaultRowHeight="14.5"/>
  <cols>
    <col min="1" max="1" width="40.26953125" bestFit="1" customWidth="1"/>
    <col min="2" max="2" width="10.81640625" bestFit="1" customWidth="1"/>
    <col min="3" max="3" width="10.1796875" bestFit="1" customWidth="1"/>
  </cols>
  <sheetData>
    <row r="3" spans="1:9">
      <c r="D3" t="s">
        <v>134</v>
      </c>
      <c r="F3" t="s">
        <v>146</v>
      </c>
    </row>
    <row r="4" spans="1:9">
      <c r="A4" s="21" t="s">
        <v>141</v>
      </c>
      <c r="C4" t="s">
        <v>137</v>
      </c>
      <c r="D4" s="30" t="s">
        <v>135</v>
      </c>
      <c r="E4" s="171" t="s">
        <v>136</v>
      </c>
      <c r="F4" s="1"/>
      <c r="G4" s="1"/>
      <c r="H4" s="1"/>
    </row>
    <row r="5" spans="1:9">
      <c r="A5" s="21" t="s">
        <v>6</v>
      </c>
      <c r="D5" s="30"/>
      <c r="E5" s="171"/>
      <c r="F5" s="1"/>
      <c r="G5" s="1"/>
      <c r="H5" s="1"/>
    </row>
    <row r="6" spans="1:9">
      <c r="A6" s="6" t="s">
        <v>397</v>
      </c>
      <c r="B6" s="53">
        <f>+F6*$B$14</f>
        <v>379877.58423793013</v>
      </c>
      <c r="F6" s="484">
        <v>0.25325172282528674</v>
      </c>
      <c r="G6" t="s">
        <v>138</v>
      </c>
    </row>
    <row r="7" spans="1:9" s="6" customFormat="1">
      <c r="A7" s="6" t="s">
        <v>398</v>
      </c>
      <c r="B7" s="53">
        <f t="shared" ref="B7:B13" si="0">+F7*$B$14</f>
        <v>375000</v>
      </c>
      <c r="F7" s="484">
        <v>0.25</v>
      </c>
    </row>
    <row r="8" spans="1:9">
      <c r="A8" s="6" t="s">
        <v>399</v>
      </c>
      <c r="B8" s="53">
        <f t="shared" si="0"/>
        <v>116538.30066575776</v>
      </c>
      <c r="F8" s="484">
        <v>7.7692200443838511E-2</v>
      </c>
      <c r="G8" t="s">
        <v>138</v>
      </c>
      <c r="I8" t="s">
        <v>369</v>
      </c>
    </row>
    <row r="9" spans="1:9">
      <c r="A9" s="6" t="s">
        <v>3</v>
      </c>
      <c r="B9" s="53">
        <f t="shared" si="0"/>
        <v>186585.93342009356</v>
      </c>
      <c r="F9" s="484">
        <f>1-SUM(F6:F8,F10:F13)</f>
        <v>0.12439062228006237</v>
      </c>
      <c r="G9" t="s">
        <v>138</v>
      </c>
    </row>
    <row r="10" spans="1:9">
      <c r="A10" s="6" t="s">
        <v>131</v>
      </c>
      <c r="B10" s="53">
        <f t="shared" si="0"/>
        <v>49317.756246552664</v>
      </c>
      <c r="F10" s="484">
        <v>3.2878504164368445E-2</v>
      </c>
      <c r="G10" t="s">
        <v>138</v>
      </c>
    </row>
    <row r="11" spans="1:9">
      <c r="A11" s="6" t="s">
        <v>132</v>
      </c>
      <c r="B11" s="53">
        <f t="shared" si="0"/>
        <v>94368.991437834629</v>
      </c>
      <c r="F11" s="484">
        <v>6.2912660958556424E-2</v>
      </c>
      <c r="G11" t="s">
        <v>138</v>
      </c>
    </row>
    <row r="12" spans="1:9">
      <c r="A12" s="6" t="s">
        <v>133</v>
      </c>
      <c r="B12" s="53">
        <f t="shared" si="0"/>
        <v>238311.4339918312</v>
      </c>
      <c r="C12" s="10"/>
      <c r="D12" s="7"/>
      <c r="E12" s="170"/>
      <c r="F12" s="484">
        <v>0.15887428932788747</v>
      </c>
      <c r="G12" t="s">
        <v>7</v>
      </c>
    </row>
    <row r="13" spans="1:9">
      <c r="A13" s="6" t="s">
        <v>120</v>
      </c>
      <c r="B13" s="53">
        <f t="shared" si="0"/>
        <v>60000</v>
      </c>
      <c r="C13" s="10"/>
      <c r="D13" s="7"/>
      <c r="E13" s="170"/>
      <c r="F13" s="484">
        <v>0.04</v>
      </c>
      <c r="G13" t="s">
        <v>7</v>
      </c>
    </row>
    <row r="14" spans="1:9">
      <c r="A14" s="21" t="s">
        <v>40</v>
      </c>
      <c r="B14" s="10">
        <v>1500000</v>
      </c>
    </row>
    <row r="15" spans="1:9">
      <c r="A15" s="21" t="s">
        <v>152</v>
      </c>
      <c r="B15" s="10">
        <v>9500</v>
      </c>
      <c r="C15" s="10"/>
      <c r="D15" s="7"/>
      <c r="E15" s="170"/>
    </row>
    <row r="16" spans="1:9">
      <c r="A16" s="21" t="s">
        <v>142</v>
      </c>
    </row>
    <row r="17" spans="1:10">
      <c r="A17" s="6" t="s">
        <v>400</v>
      </c>
      <c r="B17" s="53">
        <f>+F17*$B$22</f>
        <v>78746.250208521189</v>
      </c>
      <c r="F17" s="484">
        <v>0.12701008098148578</v>
      </c>
      <c r="G17" s="567"/>
    </row>
    <row r="18" spans="1:10">
      <c r="A18" s="6" t="s">
        <v>397</v>
      </c>
      <c r="B18" s="53">
        <f>+F18*$B$22</f>
        <v>248000</v>
      </c>
      <c r="F18" s="484">
        <v>0.4</v>
      </c>
    </row>
    <row r="19" spans="1:10">
      <c r="A19" s="6" t="s">
        <v>305</v>
      </c>
      <c r="B19" s="53">
        <f>+F19*$B$22</f>
        <v>62000</v>
      </c>
      <c r="F19" s="484">
        <v>0.1</v>
      </c>
    </row>
    <row r="20" spans="1:10">
      <c r="A20" s="6" t="s">
        <v>401</v>
      </c>
      <c r="B20" s="53">
        <f>+F20*$B$22</f>
        <v>170043.97429006136</v>
      </c>
      <c r="F20" s="484">
        <v>0.27426447466138931</v>
      </c>
    </row>
    <row r="21" spans="1:10">
      <c r="A21" s="6" t="s">
        <v>402</v>
      </c>
      <c r="B21" s="53">
        <f>+F21*$B$22</f>
        <v>61209.775501417389</v>
      </c>
      <c r="F21" s="484">
        <f>1-SUM(F17:F20)</f>
        <v>9.8725444357124825E-2</v>
      </c>
    </row>
    <row r="22" spans="1:10">
      <c r="A22" s="21" t="s">
        <v>144</v>
      </c>
      <c r="B22" s="487">
        <v>620000</v>
      </c>
    </row>
    <row r="23" spans="1:10">
      <c r="A23" s="6" t="s">
        <v>400</v>
      </c>
      <c r="B23" s="53">
        <f t="shared" ref="B23:B29" si="1">+F23*$B$30</f>
        <v>49400</v>
      </c>
      <c r="F23" s="484">
        <v>0.13</v>
      </c>
      <c r="G23" s="170">
        <f>SUM(F23:F29)</f>
        <v>1</v>
      </c>
      <c r="I23" t="s">
        <v>370</v>
      </c>
      <c r="J23" t="s">
        <v>371</v>
      </c>
    </row>
    <row r="24" spans="1:10">
      <c r="A24" s="6" t="s">
        <v>397</v>
      </c>
      <c r="B24" s="53">
        <f t="shared" si="1"/>
        <v>152000</v>
      </c>
      <c r="F24" s="484">
        <v>0.4</v>
      </c>
    </row>
    <row r="25" spans="1:10">
      <c r="A25" s="6" t="s">
        <v>305</v>
      </c>
      <c r="B25" s="53">
        <f t="shared" si="1"/>
        <v>38000</v>
      </c>
      <c r="F25" s="484">
        <v>0.1</v>
      </c>
    </row>
    <row r="26" spans="1:10">
      <c r="A26" s="6" t="s">
        <v>147</v>
      </c>
      <c r="B26" s="53">
        <f t="shared" si="1"/>
        <v>0</v>
      </c>
      <c r="C26" s="10">
        <v>2189.1999999999998</v>
      </c>
      <c r="D26" s="7">
        <f>+B26-C26</f>
        <v>-2189.1999999999998</v>
      </c>
      <c r="E26" s="170">
        <f>+B26/C26-1</f>
        <v>-1</v>
      </c>
      <c r="F26" s="484">
        <v>0</v>
      </c>
    </row>
    <row r="27" spans="1:10">
      <c r="A27" s="6" t="s">
        <v>148</v>
      </c>
      <c r="B27" s="53">
        <f t="shared" si="1"/>
        <v>0</v>
      </c>
      <c r="C27" s="10">
        <v>475</v>
      </c>
      <c r="D27" s="7">
        <f>+B27-C27</f>
        <v>-475</v>
      </c>
      <c r="E27" s="170">
        <f>+B27/C27-1</f>
        <v>-1</v>
      </c>
      <c r="F27" s="484">
        <v>0</v>
      </c>
    </row>
    <row r="28" spans="1:10">
      <c r="A28" s="6" t="s">
        <v>401</v>
      </c>
      <c r="B28" s="53">
        <f t="shared" si="1"/>
        <v>104220.50037132794</v>
      </c>
      <c r="C28" s="10"/>
      <c r="D28" s="7"/>
      <c r="E28" s="170"/>
      <c r="F28" s="484">
        <v>0.27426447466138931</v>
      </c>
    </row>
    <row r="29" spans="1:10">
      <c r="A29" s="6" t="s">
        <v>256</v>
      </c>
      <c r="B29" s="53">
        <f t="shared" si="1"/>
        <v>36379.499628672078</v>
      </c>
      <c r="F29" s="484">
        <f>1-SUM(F23:F28)</f>
        <v>9.5735525338610739E-2</v>
      </c>
    </row>
    <row r="30" spans="1:10">
      <c r="A30" s="21" t="s">
        <v>145</v>
      </c>
      <c r="B30" s="487">
        <v>380000</v>
      </c>
    </row>
    <row r="31" spans="1:10">
      <c r="A31" s="21" t="s">
        <v>142</v>
      </c>
      <c r="B31" s="7">
        <f>+B30+B22</f>
        <v>1000000</v>
      </c>
      <c r="C31" t="b">
        <f>+B31=SUM(B23:B29,B17:B21)</f>
        <v>1</v>
      </c>
    </row>
    <row r="32" spans="1:10">
      <c r="A32" s="6" t="s">
        <v>31</v>
      </c>
      <c r="B32" s="7">
        <f>+B31+B14+B15</f>
        <v>2509500</v>
      </c>
    </row>
    <row r="34" spans="1:3">
      <c r="A34" s="1" t="s">
        <v>175</v>
      </c>
    </row>
    <row r="35" spans="1:3">
      <c r="A35" s="2" t="s">
        <v>3</v>
      </c>
      <c r="B35" s="7">
        <f>+B9</f>
        <v>186585.93342009356</v>
      </c>
    </row>
    <row r="36" spans="1:3">
      <c r="A36" s="2" t="s">
        <v>171</v>
      </c>
      <c r="B36" s="7">
        <f>+B8</f>
        <v>116538.30066575776</v>
      </c>
    </row>
    <row r="37" spans="1:3">
      <c r="A37" s="2" t="s">
        <v>521</v>
      </c>
      <c r="B37" s="7">
        <f>+B6</f>
        <v>379877.58423793013</v>
      </c>
    </row>
    <row r="38" spans="1:3">
      <c r="A38" s="2" t="s">
        <v>398</v>
      </c>
      <c r="B38" s="7">
        <f>+B7+B13</f>
        <v>435000</v>
      </c>
    </row>
    <row r="39" spans="1:3">
      <c r="A39" s="2" t="s">
        <v>177</v>
      </c>
      <c r="B39" s="7">
        <f>+B10</f>
        <v>49317.756246552664</v>
      </c>
    </row>
    <row r="40" spans="1:3">
      <c r="A40" s="2" t="s">
        <v>178</v>
      </c>
      <c r="B40" s="7">
        <f>+B11</f>
        <v>94368.991437834629</v>
      </c>
    </row>
    <row r="41" spans="1:3">
      <c r="A41" s="2" t="s">
        <v>133</v>
      </c>
      <c r="B41" s="7">
        <f>+B12</f>
        <v>238311.4339918312</v>
      </c>
    </row>
    <row r="42" spans="1:3">
      <c r="A42" s="2" t="s">
        <v>176</v>
      </c>
      <c r="B42" s="7">
        <v>0</v>
      </c>
    </row>
    <row r="43" spans="1:3">
      <c r="A43" s="2" t="s">
        <v>151</v>
      </c>
      <c r="B43" s="7">
        <f>+B15</f>
        <v>9500</v>
      </c>
    </row>
    <row r="44" spans="1:3">
      <c r="A44" s="1" t="s">
        <v>31</v>
      </c>
      <c r="B44" s="13">
        <f>+SUM(B35:B43)</f>
        <v>1509500</v>
      </c>
      <c r="C44" t="b">
        <f>B44=B14+B15</f>
        <v>1</v>
      </c>
    </row>
    <row r="46" spans="1:3">
      <c r="A46" s="1" t="s">
        <v>185</v>
      </c>
    </row>
    <row r="47" spans="1:3">
      <c r="A47" s="2" t="s">
        <v>180</v>
      </c>
      <c r="B47" s="7">
        <f>+B22</f>
        <v>620000</v>
      </c>
    </row>
    <row r="48" spans="1:3">
      <c r="A48" s="2" t="s">
        <v>181</v>
      </c>
      <c r="B48" s="7">
        <f>+B30</f>
        <v>380000</v>
      </c>
    </row>
    <row r="49" spans="1:3">
      <c r="A49" s="1" t="s">
        <v>31</v>
      </c>
      <c r="B49" s="13">
        <f>+SUM(B47:B48)</f>
        <v>1000000</v>
      </c>
    </row>
    <row r="51" spans="1:3">
      <c r="A51" s="1" t="s">
        <v>186</v>
      </c>
    </row>
    <row r="52" spans="1:3">
      <c r="A52" s="2" t="s">
        <v>171</v>
      </c>
      <c r="B52" s="7">
        <f>+B17+B23</f>
        <v>128146.25020852119</v>
      </c>
    </row>
    <row r="53" spans="1:3">
      <c r="A53" s="2" t="s">
        <v>521</v>
      </c>
      <c r="B53" s="7">
        <f>+B18+B24</f>
        <v>400000</v>
      </c>
    </row>
    <row r="54" spans="1:3">
      <c r="A54" s="2" t="s">
        <v>398</v>
      </c>
      <c r="B54" s="7">
        <f>B25+B19</f>
        <v>100000</v>
      </c>
    </row>
    <row r="55" spans="1:3">
      <c r="A55" s="2" t="s">
        <v>177</v>
      </c>
      <c r="B55" s="7">
        <f>B28+B20</f>
        <v>274264.47466138931</v>
      </c>
    </row>
    <row r="56" spans="1:3">
      <c r="A56" s="2" t="s">
        <v>310</v>
      </c>
      <c r="B56" s="7">
        <f>+B21</f>
        <v>61209.775501417389</v>
      </c>
    </row>
    <row r="57" spans="1:3">
      <c r="A57" s="2" t="s">
        <v>176</v>
      </c>
      <c r="B57" s="7">
        <f>+B26+B27</f>
        <v>0</v>
      </c>
    </row>
    <row r="58" spans="1:3">
      <c r="A58" s="2" t="s">
        <v>3</v>
      </c>
      <c r="B58" s="7">
        <f>+B29</f>
        <v>36379.499628672078</v>
      </c>
    </row>
    <row r="59" spans="1:3">
      <c r="A59" s="1" t="s">
        <v>31</v>
      </c>
      <c r="B59" s="13">
        <f>SUM(B52:B58)</f>
        <v>999999.99999999977</v>
      </c>
      <c r="C59" t="b">
        <f>+B59=B49</f>
        <v>1</v>
      </c>
    </row>
  </sheetData>
  <conditionalFormatting sqref="C31">
    <cfRule type="cellIs" dxfId="4" priority="5" operator="equal">
      <formula>FALSE</formula>
    </cfRule>
  </conditionalFormatting>
  <conditionalFormatting sqref="C44">
    <cfRule type="cellIs" dxfId="3" priority="1" operator="equal">
      <formula>FALSE</formula>
    </cfRule>
    <cfRule type="cellIs" dxfId="2" priority="2" operator="equal">
      <formula>"False"</formula>
    </cfRule>
  </conditionalFormatting>
  <conditionalFormatting sqref="C59">
    <cfRule type="cellIs" dxfId="1" priority="3" operator="equal">
      <formula>FALSE</formula>
    </cfRule>
    <cfRule type="cellIs" dxfId="0" priority="4" operator="equal">
      <formula>"False"</formula>
    </cfRule>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AC86-31B3-41F3-AC84-D45C69BCCAD7}">
  <dimension ref="A1:P30"/>
  <sheetViews>
    <sheetView topLeftCell="B1" workbookViewId="0">
      <selection activeCell="J11" sqref="J11"/>
    </sheetView>
  </sheetViews>
  <sheetFormatPr defaultColWidth="12.54296875" defaultRowHeight="16"/>
  <cols>
    <col min="1" max="1" width="12.54296875" style="219"/>
    <col min="2" max="2" width="18.81640625" style="219" bestFit="1" customWidth="1"/>
    <col min="3" max="3" width="12.54296875" style="219"/>
    <col min="4" max="4" width="47" style="219" bestFit="1" customWidth="1"/>
    <col min="5" max="7" width="12.54296875" style="219"/>
    <col min="8" max="8" width="14.1796875" style="219" bestFit="1" customWidth="1"/>
    <col min="9" max="9" width="23.81640625" style="219" bestFit="1" customWidth="1"/>
    <col min="10" max="13" width="12.54296875" style="219"/>
    <col min="14" max="14" width="16" style="219" bestFit="1" customWidth="1"/>
    <col min="15" max="16384" width="12.54296875" style="219"/>
  </cols>
  <sheetData>
    <row r="1" spans="1:16" s="222" customFormat="1" ht="48">
      <c r="A1" s="222" t="s">
        <v>255</v>
      </c>
      <c r="B1" s="222" t="s">
        <v>254</v>
      </c>
      <c r="C1" s="222" t="s">
        <v>253</v>
      </c>
      <c r="D1" s="222" t="s">
        <v>252</v>
      </c>
      <c r="E1" s="222" t="s">
        <v>251</v>
      </c>
      <c r="F1" s="222" t="s">
        <v>250</v>
      </c>
      <c r="G1" s="222" t="s">
        <v>249</v>
      </c>
      <c r="H1" s="222" t="s">
        <v>248</v>
      </c>
      <c r="I1" s="222" t="s">
        <v>247</v>
      </c>
      <c r="J1" s="222" t="s">
        <v>246</v>
      </c>
      <c r="K1" s="222" t="s">
        <v>245</v>
      </c>
      <c r="L1" s="222" t="s">
        <v>244</v>
      </c>
      <c r="M1" s="222" t="s">
        <v>243</v>
      </c>
      <c r="N1" s="222" t="s">
        <v>242</v>
      </c>
      <c r="O1" s="222" t="s">
        <v>241</v>
      </c>
      <c r="P1" s="222" t="s">
        <v>240</v>
      </c>
    </row>
    <row r="2" spans="1:16">
      <c r="B2" s="219" t="s">
        <v>179</v>
      </c>
      <c r="C2" s="219" t="s">
        <v>239</v>
      </c>
      <c r="D2" s="219" t="s">
        <v>238</v>
      </c>
      <c r="H2" s="220">
        <v>106408.51</v>
      </c>
      <c r="M2" s="221">
        <v>0.39229999999999998</v>
      </c>
      <c r="P2" s="219" t="s">
        <v>3</v>
      </c>
    </row>
    <row r="3" spans="1:16">
      <c r="B3" s="219" t="s">
        <v>179</v>
      </c>
      <c r="C3" s="219" t="s">
        <v>200</v>
      </c>
      <c r="D3" s="219" t="s">
        <v>237</v>
      </c>
      <c r="E3" s="219">
        <v>495.29399999999998</v>
      </c>
      <c r="F3" s="220">
        <v>138.69999999999999</v>
      </c>
      <c r="G3" s="220">
        <v>-8.65</v>
      </c>
      <c r="H3" s="220">
        <v>68697.27</v>
      </c>
      <c r="I3" s="220">
        <v>-4284.3</v>
      </c>
      <c r="J3" s="221">
        <v>-5.8799999999999998E-2</v>
      </c>
      <c r="K3" s="220">
        <v>35096.699999999997</v>
      </c>
      <c r="L3" s="221">
        <v>1.0445</v>
      </c>
      <c r="M3" s="221">
        <v>0.25330000000000003</v>
      </c>
      <c r="N3" s="220">
        <v>33600.57</v>
      </c>
      <c r="O3" s="220">
        <v>67.84</v>
      </c>
      <c r="P3" s="219" t="s">
        <v>3</v>
      </c>
    </row>
    <row r="4" spans="1:16">
      <c r="B4" s="219" t="s">
        <v>179</v>
      </c>
      <c r="C4" s="219" t="s">
        <v>236</v>
      </c>
      <c r="D4" s="219" t="s">
        <v>235</v>
      </c>
      <c r="E4" s="219">
        <v>85.385000000000005</v>
      </c>
      <c r="F4" s="220">
        <v>504.73</v>
      </c>
      <c r="G4" s="220">
        <v>-26.89</v>
      </c>
      <c r="H4" s="220">
        <v>43096.37</v>
      </c>
      <c r="I4" s="220">
        <v>-2296.0100000000002</v>
      </c>
      <c r="J4" s="221">
        <v>-5.0599999999999999E-2</v>
      </c>
      <c r="K4" s="220">
        <v>40858.89</v>
      </c>
      <c r="L4" s="221">
        <v>18.261099999999999</v>
      </c>
      <c r="M4" s="221">
        <v>0.15890000000000001</v>
      </c>
      <c r="N4" s="220">
        <v>2237.48</v>
      </c>
      <c r="O4" s="220">
        <v>26.2</v>
      </c>
      <c r="P4" s="219" t="s">
        <v>3</v>
      </c>
    </row>
    <row r="5" spans="1:16">
      <c r="B5" s="219" t="s">
        <v>179</v>
      </c>
      <c r="C5" s="219" t="s">
        <v>234</v>
      </c>
      <c r="D5" s="219" t="s">
        <v>233</v>
      </c>
      <c r="E5" s="219">
        <v>445.84</v>
      </c>
      <c r="F5" s="220">
        <v>47.27</v>
      </c>
      <c r="G5" s="220">
        <v>-3.33</v>
      </c>
      <c r="H5" s="220">
        <v>21074.85</v>
      </c>
      <c r="I5" s="220">
        <v>-1484.65</v>
      </c>
      <c r="J5" s="221">
        <v>-6.59E-2</v>
      </c>
      <c r="K5" s="220">
        <v>3689.53</v>
      </c>
      <c r="L5" s="221">
        <v>0.2122</v>
      </c>
      <c r="M5" s="221">
        <v>7.7700000000000005E-2</v>
      </c>
      <c r="N5" s="220">
        <v>17385.32</v>
      </c>
      <c r="O5" s="220">
        <v>38.99</v>
      </c>
      <c r="P5" s="219" t="s">
        <v>3</v>
      </c>
    </row>
    <row r="6" spans="1:16">
      <c r="B6" s="219" t="s">
        <v>179</v>
      </c>
      <c r="C6" s="219" t="s">
        <v>232</v>
      </c>
      <c r="D6" s="219" t="s">
        <v>231</v>
      </c>
      <c r="E6" s="219">
        <v>787.89200000000005</v>
      </c>
      <c r="F6" s="220">
        <v>21.66</v>
      </c>
      <c r="G6" s="220">
        <v>-1.37</v>
      </c>
      <c r="H6" s="220">
        <v>17065.740000000002</v>
      </c>
      <c r="I6" s="220">
        <v>-1079.42</v>
      </c>
      <c r="J6" s="221">
        <v>-5.9499999999999997E-2</v>
      </c>
      <c r="K6" s="220">
        <v>7107.11</v>
      </c>
      <c r="L6" s="221">
        <v>0.71360000000000001</v>
      </c>
      <c r="M6" s="221">
        <v>6.2899999999999998E-2</v>
      </c>
      <c r="N6" s="220">
        <v>9958.6299999999992</v>
      </c>
      <c r="O6" s="220">
        <v>12.64</v>
      </c>
      <c r="P6" s="219" t="s">
        <v>3</v>
      </c>
    </row>
    <row r="7" spans="1:16">
      <c r="B7" s="219" t="s">
        <v>179</v>
      </c>
      <c r="C7" s="219" t="s">
        <v>202</v>
      </c>
      <c r="D7" s="219" t="s">
        <v>213</v>
      </c>
      <c r="E7" s="219">
        <v>415.98200000000003</v>
      </c>
      <c r="F7" s="220">
        <v>21.44</v>
      </c>
      <c r="G7" s="220">
        <v>-0.91</v>
      </c>
      <c r="H7" s="220">
        <v>8918.65</v>
      </c>
      <c r="I7" s="220">
        <v>-378.55</v>
      </c>
      <c r="J7" s="221">
        <v>-4.0800000000000003E-2</v>
      </c>
      <c r="K7" s="220">
        <v>-1260.97</v>
      </c>
      <c r="L7" s="226">
        <v>-0.1239</v>
      </c>
      <c r="M7" s="221">
        <v>3.2899999999999999E-2</v>
      </c>
      <c r="N7" s="220">
        <v>10179.620000000001</v>
      </c>
      <c r="O7" s="220">
        <v>24.47</v>
      </c>
      <c r="P7" s="219" t="s">
        <v>3</v>
      </c>
    </row>
    <row r="8" spans="1:16">
      <c r="B8" s="219" t="s">
        <v>179</v>
      </c>
      <c r="C8" s="219" t="s">
        <v>230</v>
      </c>
      <c r="D8" s="219" t="s">
        <v>229</v>
      </c>
      <c r="E8" s="219">
        <v>89.744</v>
      </c>
      <c r="F8" s="220">
        <v>34.39</v>
      </c>
      <c r="G8" s="220">
        <v>-2.83</v>
      </c>
      <c r="H8" s="220">
        <v>3086.29</v>
      </c>
      <c r="I8" s="220">
        <v>-253.98</v>
      </c>
      <c r="J8" s="221">
        <v>-7.6100000000000001E-2</v>
      </c>
      <c r="K8" s="220">
        <v>2036.39</v>
      </c>
      <c r="L8" s="221">
        <v>1.9396</v>
      </c>
      <c r="M8" s="221">
        <v>1.14E-2</v>
      </c>
      <c r="N8" s="220">
        <v>1049.9000000000001</v>
      </c>
      <c r="O8" s="220">
        <v>11.7</v>
      </c>
      <c r="P8" s="219" t="s">
        <v>3</v>
      </c>
    </row>
    <row r="9" spans="1:16">
      <c r="B9" s="219" t="s">
        <v>179</v>
      </c>
      <c r="C9" s="219" t="s">
        <v>228</v>
      </c>
      <c r="D9" s="219" t="s">
        <v>227</v>
      </c>
      <c r="E9" s="219">
        <v>113</v>
      </c>
      <c r="F9" s="220">
        <v>25.78</v>
      </c>
      <c r="G9" s="220">
        <v>-1.73</v>
      </c>
      <c r="H9" s="220">
        <v>2913.14</v>
      </c>
      <c r="I9" s="220">
        <v>-195.49</v>
      </c>
      <c r="J9" s="221">
        <v>-6.2899999999999998E-2</v>
      </c>
      <c r="K9" s="220">
        <v>879.14</v>
      </c>
      <c r="L9" s="221">
        <v>0.43219999999999997</v>
      </c>
      <c r="M9" s="221">
        <v>1.0699999999999999E-2</v>
      </c>
      <c r="N9" s="220">
        <v>2034</v>
      </c>
      <c r="O9" s="220">
        <v>18</v>
      </c>
      <c r="P9" s="219" t="s">
        <v>3</v>
      </c>
    </row>
    <row r="10" spans="1:16">
      <c r="F10" s="220"/>
      <c r="G10" s="220"/>
      <c r="H10" s="220">
        <f>SUM(H3:H9)</f>
        <v>164852.31000000003</v>
      </c>
      <c r="I10" s="220">
        <f>SUM(I3:I9)</f>
        <v>-9972.4</v>
      </c>
      <c r="J10" s="221">
        <f>+I10/H10</f>
        <v>-6.0492934554571894E-2</v>
      </c>
      <c r="K10" s="220"/>
      <c r="L10" s="221"/>
      <c r="M10" s="221"/>
      <c r="N10" s="220"/>
      <c r="O10" s="220"/>
    </row>
    <row r="11" spans="1:16">
      <c r="F11" s="220"/>
      <c r="G11" s="220"/>
      <c r="H11" s="220"/>
      <c r="I11" s="220"/>
      <c r="J11" s="221"/>
      <c r="K11" s="220"/>
      <c r="L11" s="221"/>
      <c r="M11" s="221"/>
      <c r="N11" s="220"/>
      <c r="O11" s="220"/>
    </row>
    <row r="12" spans="1:16">
      <c r="B12" s="219" t="s">
        <v>145</v>
      </c>
      <c r="C12" s="219" t="s">
        <v>215</v>
      </c>
      <c r="D12" s="219" t="s">
        <v>214</v>
      </c>
      <c r="E12" s="219">
        <v>3761.335</v>
      </c>
      <c r="F12" s="220">
        <v>17.53</v>
      </c>
      <c r="G12" s="220">
        <v>-1.0900000000000001</v>
      </c>
      <c r="H12" s="220">
        <v>65936.2</v>
      </c>
      <c r="I12" s="220">
        <v>-4099.8599999999997</v>
      </c>
      <c r="J12" s="221">
        <v>-5.8599999999999999E-2</v>
      </c>
      <c r="K12" s="220">
        <v>10626.46</v>
      </c>
      <c r="L12" s="221">
        <v>0.19209999999999999</v>
      </c>
      <c r="M12" s="221">
        <v>0.4148</v>
      </c>
      <c r="N12" s="220">
        <v>55309.74</v>
      </c>
      <c r="O12" s="220">
        <v>14.7</v>
      </c>
      <c r="P12" s="219" t="s">
        <v>3</v>
      </c>
    </row>
    <row r="13" spans="1:16">
      <c r="B13" s="219" t="s">
        <v>145</v>
      </c>
      <c r="C13" s="219" t="s">
        <v>201</v>
      </c>
      <c r="D13" s="219" t="s">
        <v>212</v>
      </c>
      <c r="E13" s="219">
        <v>3925.3409999999999</v>
      </c>
      <c r="F13" s="220">
        <v>11.15</v>
      </c>
      <c r="G13" s="220">
        <v>-0.72</v>
      </c>
      <c r="H13" s="220">
        <v>43767.55</v>
      </c>
      <c r="I13" s="220">
        <v>-2826.25</v>
      </c>
      <c r="J13" s="221">
        <v>-6.0699999999999997E-2</v>
      </c>
      <c r="K13" s="220">
        <v>2487.81</v>
      </c>
      <c r="L13" s="221">
        <v>6.0199999999999997E-2</v>
      </c>
      <c r="M13" s="221">
        <v>0.27529999999999999</v>
      </c>
      <c r="N13" s="220">
        <v>41279.74</v>
      </c>
      <c r="O13" s="220">
        <v>10.52</v>
      </c>
      <c r="P13" s="219" t="s">
        <v>3</v>
      </c>
    </row>
    <row r="14" spans="1:16">
      <c r="B14" s="219" t="s">
        <v>145</v>
      </c>
      <c r="C14" s="219" t="s">
        <v>202</v>
      </c>
      <c r="D14" s="219" t="s">
        <v>213</v>
      </c>
      <c r="E14" s="219">
        <v>1656.7809999999999</v>
      </c>
      <c r="F14" s="220">
        <v>21.44</v>
      </c>
      <c r="G14" s="220">
        <v>-0.91</v>
      </c>
      <c r="H14" s="220">
        <v>35521.379999999997</v>
      </c>
      <c r="I14" s="220">
        <v>-1507.68</v>
      </c>
      <c r="J14" s="221">
        <v>-4.0800000000000003E-2</v>
      </c>
      <c r="K14" s="220">
        <v>-2018.09</v>
      </c>
      <c r="L14" s="221">
        <v>-5.3800000000000001E-2</v>
      </c>
      <c r="M14" s="221">
        <v>0.22339999999999999</v>
      </c>
      <c r="N14" s="220">
        <v>37539.47</v>
      </c>
      <c r="O14" s="220">
        <v>22.66</v>
      </c>
      <c r="P14" s="219" t="s">
        <v>3</v>
      </c>
    </row>
    <row r="15" spans="1:16" s="223" customFormat="1">
      <c r="B15" s="223" t="s">
        <v>145</v>
      </c>
      <c r="C15" s="223" t="s">
        <v>226</v>
      </c>
      <c r="D15" s="223" t="s">
        <v>225</v>
      </c>
      <c r="H15" s="225">
        <v>7036.79</v>
      </c>
      <c r="M15" s="226">
        <v>4.4299999999999999E-2</v>
      </c>
      <c r="P15" s="223" t="s">
        <v>3</v>
      </c>
    </row>
    <row r="16" spans="1:16">
      <c r="B16" s="219" t="s">
        <v>145</v>
      </c>
      <c r="C16" s="219" t="s">
        <v>224</v>
      </c>
      <c r="D16" s="219" t="s">
        <v>223</v>
      </c>
      <c r="E16" s="219">
        <v>13.093999999999999</v>
      </c>
      <c r="F16" s="220">
        <v>459.11</v>
      </c>
      <c r="G16" s="220">
        <v>-39.49</v>
      </c>
      <c r="H16" s="220">
        <v>6011.58</v>
      </c>
      <c r="I16" s="220">
        <v>-517.09</v>
      </c>
      <c r="J16" s="221">
        <v>-7.9299999999999995E-2</v>
      </c>
      <c r="K16" s="220">
        <v>3822.38</v>
      </c>
      <c r="L16" s="221">
        <v>1.746</v>
      </c>
      <c r="M16" s="221">
        <v>3.78E-2</v>
      </c>
      <c r="N16" s="220">
        <v>2189.1999999999998</v>
      </c>
      <c r="O16" s="220">
        <v>167.19</v>
      </c>
      <c r="P16" s="219" t="s">
        <v>3</v>
      </c>
    </row>
    <row r="17" spans="1:16">
      <c r="B17" s="219" t="s">
        <v>145</v>
      </c>
      <c r="C17" s="219" t="s">
        <v>222</v>
      </c>
      <c r="D17" s="219" t="s">
        <v>221</v>
      </c>
      <c r="E17" s="219">
        <v>25</v>
      </c>
      <c r="F17" s="220">
        <v>28.17</v>
      </c>
      <c r="G17" s="220">
        <v>-1.81</v>
      </c>
      <c r="H17" s="220">
        <v>704.25</v>
      </c>
      <c r="I17" s="220">
        <v>-45.25</v>
      </c>
      <c r="J17" s="221">
        <v>-6.0400000000000002E-2</v>
      </c>
      <c r="K17" s="220">
        <v>229.25</v>
      </c>
      <c r="L17" s="221">
        <v>0.48259999999999997</v>
      </c>
      <c r="M17" s="221">
        <v>4.4000000000000003E-3</v>
      </c>
      <c r="N17" s="220">
        <v>475</v>
      </c>
      <c r="O17" s="220">
        <v>19</v>
      </c>
      <c r="P17" s="219" t="s">
        <v>3</v>
      </c>
    </row>
    <row r="18" spans="1:16">
      <c r="B18" s="219" t="s">
        <v>144</v>
      </c>
      <c r="D18" s="219" t="s">
        <v>220</v>
      </c>
      <c r="E18" s="219">
        <v>344749.17</v>
      </c>
      <c r="F18" s="220">
        <v>1</v>
      </c>
      <c r="G18" s="220">
        <v>0</v>
      </c>
      <c r="H18" s="220">
        <v>344749.17</v>
      </c>
      <c r="I18" s="220">
        <v>0</v>
      </c>
      <c r="J18" s="221">
        <v>0</v>
      </c>
      <c r="K18" s="220">
        <v>0</v>
      </c>
      <c r="L18" s="221">
        <v>0</v>
      </c>
      <c r="M18" s="219" t="s">
        <v>219</v>
      </c>
      <c r="N18" s="220">
        <v>344749.17</v>
      </c>
      <c r="O18" s="220">
        <v>1</v>
      </c>
    </row>
    <row r="19" spans="1:16" s="223" customFormat="1">
      <c r="B19" s="223" t="s">
        <v>144</v>
      </c>
      <c r="C19" s="224" t="s">
        <v>218</v>
      </c>
      <c r="D19" s="223" t="s">
        <v>217</v>
      </c>
      <c r="E19" s="223">
        <v>6.3920000000000003</v>
      </c>
      <c r="F19" s="225">
        <v>38.450000000000003</v>
      </c>
      <c r="G19" s="225">
        <v>-2.16</v>
      </c>
      <c r="H19" s="225">
        <v>245.77</v>
      </c>
      <c r="I19" s="225">
        <v>-13.81</v>
      </c>
      <c r="J19" s="226">
        <v>-5.3199999999999997E-2</v>
      </c>
      <c r="K19" s="225">
        <v>25.89</v>
      </c>
      <c r="L19" s="226">
        <v>0.1177</v>
      </c>
      <c r="M19" s="226">
        <v>0.99770000000000003</v>
      </c>
      <c r="N19" s="225">
        <v>219.88</v>
      </c>
      <c r="O19" s="225">
        <v>34.4</v>
      </c>
    </row>
    <row r="20" spans="1:16" s="223" customFormat="1">
      <c r="B20" s="223" t="s">
        <v>144</v>
      </c>
      <c r="C20" s="223" t="s">
        <v>210</v>
      </c>
      <c r="D20" s="223" t="s">
        <v>216</v>
      </c>
      <c r="E20" s="223">
        <v>5.2999999999999999E-2</v>
      </c>
      <c r="F20" s="225">
        <v>10.49</v>
      </c>
      <c r="G20" s="225">
        <v>0.01</v>
      </c>
      <c r="H20" s="225">
        <v>0.56000000000000005</v>
      </c>
      <c r="I20" s="225">
        <v>0</v>
      </c>
      <c r="J20" s="226">
        <v>8.2000000000000007E-3</v>
      </c>
      <c r="K20" s="225">
        <v>-0.08</v>
      </c>
      <c r="L20" s="226">
        <v>-0.125</v>
      </c>
      <c r="M20" s="226">
        <v>2.3E-3</v>
      </c>
      <c r="N20" s="225">
        <v>0.64</v>
      </c>
      <c r="O20" s="225">
        <v>12.08</v>
      </c>
    </row>
    <row r="21" spans="1:16">
      <c r="B21" s="219" t="s">
        <v>211</v>
      </c>
      <c r="C21" s="219" t="s">
        <v>215</v>
      </c>
      <c r="D21" s="219" t="s">
        <v>214</v>
      </c>
      <c r="E21" s="219">
        <v>9838.7870000000003</v>
      </c>
      <c r="F21" s="220">
        <v>17.53</v>
      </c>
      <c r="G21" s="220">
        <v>-1.0900000000000001</v>
      </c>
      <c r="H21" s="220">
        <v>172473.93</v>
      </c>
      <c r="I21" s="220">
        <v>-10724.28</v>
      </c>
      <c r="J21" s="221">
        <v>-5.8599999999999999E-2</v>
      </c>
      <c r="K21" s="220">
        <v>32566.67</v>
      </c>
      <c r="L21" s="221">
        <v>0.23269999999999999</v>
      </c>
      <c r="M21" s="221">
        <v>0.50029999999999997</v>
      </c>
      <c r="N21" s="220">
        <v>139907.26</v>
      </c>
      <c r="O21" s="220">
        <v>14.22</v>
      </c>
      <c r="P21" s="219" t="s">
        <v>3</v>
      </c>
    </row>
    <row r="22" spans="1:16">
      <c r="B22" s="219" t="s">
        <v>211</v>
      </c>
      <c r="C22" s="219" t="s">
        <v>202</v>
      </c>
      <c r="D22" s="219" t="s">
        <v>213</v>
      </c>
      <c r="E22" s="219">
        <v>4410.0959999999995</v>
      </c>
      <c r="F22" s="220">
        <v>21.44</v>
      </c>
      <c r="G22" s="220">
        <v>-0.91</v>
      </c>
      <c r="H22" s="220">
        <v>94552.45</v>
      </c>
      <c r="I22" s="220">
        <v>-4013.19</v>
      </c>
      <c r="J22" s="221">
        <v>-4.0800000000000003E-2</v>
      </c>
      <c r="K22" s="220">
        <v>-8948.3799999999992</v>
      </c>
      <c r="L22" s="221">
        <v>-8.6499999999999994E-2</v>
      </c>
      <c r="M22" s="221">
        <v>0.27429999999999999</v>
      </c>
      <c r="N22" s="220">
        <v>103500.83</v>
      </c>
      <c r="O22" s="220">
        <v>23.47</v>
      </c>
      <c r="P22" s="219" t="s">
        <v>3</v>
      </c>
    </row>
    <row r="23" spans="1:16">
      <c r="B23" s="219" t="s">
        <v>211</v>
      </c>
      <c r="C23" s="219" t="s">
        <v>201</v>
      </c>
      <c r="D23" s="219" t="s">
        <v>212</v>
      </c>
      <c r="E23" s="219">
        <v>3927.0520000000001</v>
      </c>
      <c r="F23" s="220">
        <v>11.15</v>
      </c>
      <c r="G23" s="220">
        <v>-0.72</v>
      </c>
      <c r="H23" s="220">
        <v>43786.62</v>
      </c>
      <c r="I23" s="220">
        <v>-2827.48</v>
      </c>
      <c r="J23" s="221">
        <v>-6.0699999999999997E-2</v>
      </c>
      <c r="K23" s="220">
        <v>1503.31</v>
      </c>
      <c r="L23" s="221">
        <v>3.5499999999999997E-2</v>
      </c>
      <c r="M23" s="221">
        <v>0.127</v>
      </c>
      <c r="N23" s="220">
        <v>42283.31</v>
      </c>
      <c r="O23" s="220">
        <v>10.77</v>
      </c>
      <c r="P23" s="219" t="s">
        <v>3</v>
      </c>
    </row>
    <row r="24" spans="1:16">
      <c r="B24" s="219" t="s">
        <v>211</v>
      </c>
      <c r="C24" s="219" t="s">
        <v>210</v>
      </c>
      <c r="D24" s="219" t="s">
        <v>209</v>
      </c>
      <c r="E24" s="219">
        <v>3235.098</v>
      </c>
      <c r="F24" s="220">
        <v>10.49</v>
      </c>
      <c r="G24" s="220">
        <v>0.01</v>
      </c>
      <c r="H24" s="220">
        <v>33936.17</v>
      </c>
      <c r="I24" s="220">
        <v>32.35</v>
      </c>
      <c r="J24" s="221">
        <v>8.9999999999999998E-4</v>
      </c>
      <c r="K24" s="220">
        <v>-715.72</v>
      </c>
      <c r="L24" s="221">
        <v>-2.07E-2</v>
      </c>
      <c r="M24" s="221">
        <v>9.8400000000000001E-2</v>
      </c>
      <c r="N24" s="220">
        <v>34651.89</v>
      </c>
      <c r="O24" s="220">
        <v>10.71</v>
      </c>
      <c r="P24" s="219" t="s">
        <v>3</v>
      </c>
    </row>
    <row r="26" spans="1:16">
      <c r="A26" s="219" t="s">
        <v>208</v>
      </c>
    </row>
    <row r="28" spans="1:16">
      <c r="A28" s="219" t="s">
        <v>207</v>
      </c>
    </row>
    <row r="30" spans="1:16">
      <c r="A30" s="219" t="s">
        <v>206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A0345-4986-4E35-8A04-B7DAC0D044D4}">
  <dimension ref="A3:H51"/>
  <sheetViews>
    <sheetView workbookViewId="0">
      <selection activeCell="F36" sqref="F36"/>
    </sheetView>
  </sheetViews>
  <sheetFormatPr defaultRowHeight="14.5"/>
  <cols>
    <col min="1" max="1" width="40.26953125" bestFit="1" customWidth="1"/>
    <col min="2" max="2" width="9.453125" bestFit="1" customWidth="1"/>
    <col min="3" max="3" width="10.1796875" bestFit="1" customWidth="1"/>
  </cols>
  <sheetData>
    <row r="3" spans="1:8">
      <c r="D3" t="s">
        <v>134</v>
      </c>
      <c r="F3" t="s">
        <v>146</v>
      </c>
    </row>
    <row r="4" spans="1:8">
      <c r="A4" s="21" t="s">
        <v>141</v>
      </c>
      <c r="B4" s="10"/>
      <c r="C4" t="s">
        <v>137</v>
      </c>
      <c r="D4" s="30" t="s">
        <v>135</v>
      </c>
      <c r="E4" s="171" t="s">
        <v>136</v>
      </c>
      <c r="F4" s="1"/>
      <c r="G4" s="1"/>
      <c r="H4" s="1"/>
    </row>
    <row r="5" spans="1:8">
      <c r="A5" s="6" t="s">
        <v>129</v>
      </c>
      <c r="B5" s="10">
        <v>80767.59</v>
      </c>
      <c r="F5" s="170">
        <f>+B5/$B$13</f>
        <v>0.26328721665422666</v>
      </c>
      <c r="G5" t="s">
        <v>138</v>
      </c>
    </row>
    <row r="6" spans="1:8">
      <c r="A6" s="6" t="s">
        <v>128</v>
      </c>
      <c r="B6" s="10">
        <v>22902.799999999999</v>
      </c>
      <c r="F6" s="170">
        <f t="shared" ref="F6:F12" si="0">+B6/$B$13</f>
        <v>7.4658838595882612E-2</v>
      </c>
      <c r="G6" t="s">
        <v>138</v>
      </c>
    </row>
    <row r="7" spans="1:8">
      <c r="A7" s="6" t="s">
        <v>130</v>
      </c>
      <c r="B7" s="10">
        <v>107816.63</v>
      </c>
      <c r="F7" s="170">
        <f t="shared" si="0"/>
        <v>0.35146202111191621</v>
      </c>
      <c r="G7" t="s">
        <v>138</v>
      </c>
    </row>
    <row r="8" spans="1:8">
      <c r="A8" s="6" t="s">
        <v>131</v>
      </c>
      <c r="B8" s="10">
        <v>10449.469999999999</v>
      </c>
      <c r="F8" s="170">
        <f t="shared" si="0"/>
        <v>3.4063315146729542E-2</v>
      </c>
      <c r="G8" t="s">
        <v>138</v>
      </c>
    </row>
    <row r="9" spans="1:8">
      <c r="A9" s="6" t="s">
        <v>132</v>
      </c>
      <c r="B9" s="10">
        <v>19531.84</v>
      </c>
      <c r="F9" s="170">
        <f t="shared" si="0"/>
        <v>6.3670140333959332E-2</v>
      </c>
      <c r="G9" t="s">
        <v>138</v>
      </c>
    </row>
    <row r="10" spans="1:8">
      <c r="A10" s="6" t="s">
        <v>133</v>
      </c>
      <c r="B10" s="10">
        <v>57006.81</v>
      </c>
      <c r="C10" s="10">
        <v>2192.69</v>
      </c>
      <c r="D10" s="7">
        <f>+B10-C10</f>
        <v>54814.119999999995</v>
      </c>
      <c r="E10" s="170">
        <f>+B10/C10-1</f>
        <v>24.99857252963255</v>
      </c>
      <c r="F10" s="170">
        <f t="shared" si="0"/>
        <v>0.18583152394712205</v>
      </c>
      <c r="G10" t="s">
        <v>7</v>
      </c>
    </row>
    <row r="11" spans="1:8">
      <c r="A11" s="6" t="s">
        <v>120</v>
      </c>
      <c r="B11" s="10">
        <v>4112.21</v>
      </c>
      <c r="C11" s="10">
        <v>1026.71</v>
      </c>
      <c r="D11" s="7">
        <f>+B11-C11</f>
        <v>3085.5</v>
      </c>
      <c r="E11" s="170">
        <f>+B11/C11-1</f>
        <v>3.0052302987211581</v>
      </c>
      <c r="F11" s="170">
        <f t="shared" si="0"/>
        <v>1.340503443519458E-2</v>
      </c>
      <c r="G11" t="s">
        <v>7</v>
      </c>
    </row>
    <row r="12" spans="1:8">
      <c r="A12" s="6" t="s">
        <v>139</v>
      </c>
      <c r="B12" s="10">
        <v>4178.74</v>
      </c>
      <c r="C12" s="10">
        <v>2034</v>
      </c>
      <c r="D12" s="7">
        <f>+B12-C12</f>
        <v>2144.7399999999998</v>
      </c>
      <c r="E12" s="170">
        <f>+B12/C12-1</f>
        <v>1.0544444444444445</v>
      </c>
      <c r="F12" s="170">
        <f t="shared" si="0"/>
        <v>1.3621909774968933E-2</v>
      </c>
      <c r="G12" t="s">
        <v>7</v>
      </c>
    </row>
    <row r="13" spans="1:8">
      <c r="A13" s="21" t="s">
        <v>40</v>
      </c>
      <c r="B13" s="13">
        <f>SUM(B5:B12)</f>
        <v>306766.09000000003</v>
      </c>
    </row>
    <row r="14" spans="1:8">
      <c r="A14" s="21" t="s">
        <v>152</v>
      </c>
      <c r="B14" s="10">
        <v>5976.47</v>
      </c>
      <c r="C14" s="10">
        <v>2800</v>
      </c>
      <c r="D14" s="7">
        <f>+B14-C14</f>
        <v>3176.4700000000003</v>
      </c>
      <c r="E14" s="170">
        <f>+B14/C14-1</f>
        <v>1.1344535714285717</v>
      </c>
    </row>
    <row r="15" spans="1:8">
      <c r="A15" s="21" t="s">
        <v>142</v>
      </c>
    </row>
    <row r="16" spans="1:8">
      <c r="A16" s="6" t="s">
        <v>130</v>
      </c>
      <c r="B16" s="10">
        <f>+'Portfolio_Positions_Apr-05-2025'!H12</f>
        <v>65936.2</v>
      </c>
      <c r="F16" s="170">
        <f>+B16/$B$20</f>
        <v>0.15962470297115391</v>
      </c>
    </row>
    <row r="17" spans="1:6">
      <c r="A17" s="6" t="s">
        <v>140</v>
      </c>
      <c r="B17" s="10">
        <v>202679.01</v>
      </c>
      <c r="F17" s="170">
        <f>+B17/$B$20</f>
        <v>0.49066486648817398</v>
      </c>
    </row>
    <row r="18" spans="1:6">
      <c r="A18" s="6" t="s">
        <v>131</v>
      </c>
      <c r="B18" s="10">
        <v>110781.61</v>
      </c>
      <c r="F18" s="170">
        <f>+B18/$B$20</f>
        <v>0.26819079035364812</v>
      </c>
    </row>
    <row r="19" spans="1:6">
      <c r="A19" s="6" t="s">
        <v>143</v>
      </c>
      <c r="B19" s="10">
        <v>33673.33</v>
      </c>
      <c r="F19" s="170">
        <f>+B19/$B$20</f>
        <v>8.1519640187023928E-2</v>
      </c>
    </row>
    <row r="20" spans="1:6">
      <c r="A20" s="21" t="s">
        <v>144</v>
      </c>
      <c r="B20" s="13">
        <f>SUM(B16:B19)</f>
        <v>413070.15</v>
      </c>
    </row>
    <row r="21" spans="1:6">
      <c r="A21" s="6" t="s">
        <v>130</v>
      </c>
      <c r="B21" s="10">
        <v>47221.85</v>
      </c>
      <c r="F21" s="170">
        <f>+B21/$B$20</f>
        <v>0.11431920219846434</v>
      </c>
    </row>
    <row r="22" spans="1:6">
      <c r="A22" s="6" t="s">
        <v>140</v>
      </c>
      <c r="B22" s="10">
        <v>77483.5</v>
      </c>
      <c r="F22" s="170">
        <f>+B22/$B$20</f>
        <v>0.18757951887833094</v>
      </c>
    </row>
    <row r="23" spans="1:6">
      <c r="A23" s="6" t="s">
        <v>131</v>
      </c>
      <c r="B23" s="10">
        <v>41618.339999999997</v>
      </c>
      <c r="F23" s="170">
        <f>+B23/$B$20</f>
        <v>0.1007536855422741</v>
      </c>
    </row>
    <row r="24" spans="1:6">
      <c r="A24" s="6" t="s">
        <v>147</v>
      </c>
      <c r="B24" s="10">
        <v>5652.48</v>
      </c>
      <c r="C24" s="10">
        <v>2189.1999999999998</v>
      </c>
      <c r="D24" s="7">
        <f>+B24-C24</f>
        <v>3463.2799999999997</v>
      </c>
      <c r="E24" s="170">
        <f>+B24/C24-1</f>
        <v>1.5819842864973506</v>
      </c>
      <c r="F24" s="170">
        <f>+B24/$B$20</f>
        <v>1.3684067948264961E-2</v>
      </c>
    </row>
    <row r="25" spans="1:6">
      <c r="A25" s="6" t="s">
        <v>148</v>
      </c>
      <c r="B25" s="10">
        <v>908.75</v>
      </c>
      <c r="C25" s="10">
        <v>475</v>
      </c>
      <c r="D25" s="7">
        <f>+B25-C25</f>
        <v>433.75</v>
      </c>
      <c r="E25" s="170">
        <f>+B25/C25-1</f>
        <v>0.91315789473684217</v>
      </c>
      <c r="F25" s="170">
        <f>+B25/$B$20</f>
        <v>2.1999895175189976E-3</v>
      </c>
    </row>
    <row r="26" spans="1:6">
      <c r="A26" s="21" t="s">
        <v>145</v>
      </c>
      <c r="B26" s="13">
        <f>SUM(B21:B25)</f>
        <v>172884.92</v>
      </c>
    </row>
    <row r="27" spans="1:6">
      <c r="A27" s="21" t="s">
        <v>142</v>
      </c>
      <c r="B27" s="7">
        <f>+B26+B20</f>
        <v>585955.07000000007</v>
      </c>
    </row>
    <row r="28" spans="1:6">
      <c r="A28" s="6" t="s">
        <v>31</v>
      </c>
      <c r="B28" s="7">
        <f>+B27+B13+B14</f>
        <v>898697.63000000012</v>
      </c>
    </row>
    <row r="30" spans="1:6">
      <c r="A30" t="s">
        <v>175</v>
      </c>
    </row>
    <row r="31" spans="1:6">
      <c r="A31" s="2" t="s">
        <v>171</v>
      </c>
      <c r="B31" s="7">
        <f>+B6+B7</f>
        <v>130719.43000000001</v>
      </c>
    </row>
    <row r="32" spans="1:6">
      <c r="A32" s="2" t="s">
        <v>187</v>
      </c>
      <c r="B32" s="7">
        <f>+B5</f>
        <v>80767.59</v>
      </c>
    </row>
    <row r="33" spans="1:3">
      <c r="A33" s="2" t="s">
        <v>177</v>
      </c>
      <c r="B33" s="7">
        <f>+B8</f>
        <v>10449.469999999999</v>
      </c>
    </row>
    <row r="34" spans="1:3">
      <c r="A34" s="2" t="s">
        <v>178</v>
      </c>
      <c r="B34" s="7">
        <f>+B9</f>
        <v>19531.84</v>
      </c>
    </row>
    <row r="35" spans="1:3">
      <c r="A35" s="2" t="s">
        <v>133</v>
      </c>
      <c r="B35" s="7">
        <f>+B10</f>
        <v>57006.81</v>
      </c>
    </row>
    <row r="36" spans="1:3">
      <c r="A36" s="2" t="s">
        <v>176</v>
      </c>
      <c r="B36" s="7">
        <f>+B11+B12</f>
        <v>8290.9500000000007</v>
      </c>
    </row>
    <row r="37" spans="1:3">
      <c r="A37" s="2" t="s">
        <v>151</v>
      </c>
      <c r="B37" s="7">
        <f>+B14</f>
        <v>5976.47</v>
      </c>
    </row>
    <row r="38" spans="1:3">
      <c r="A38" t="s">
        <v>31</v>
      </c>
      <c r="B38" s="7">
        <f>+SUM(B31:B37)</f>
        <v>312742.56</v>
      </c>
      <c r="C38" t="b">
        <f>B38=B13+B14</f>
        <v>1</v>
      </c>
    </row>
    <row r="40" spans="1:3">
      <c r="A40" t="s">
        <v>185</v>
      </c>
    </row>
    <row r="41" spans="1:3">
      <c r="A41" s="2" t="s">
        <v>180</v>
      </c>
      <c r="B41" s="7">
        <f>+B20</f>
        <v>413070.15</v>
      </c>
    </row>
    <row r="42" spans="1:3">
      <c r="A42" s="2" t="s">
        <v>181</v>
      </c>
      <c r="B42" s="7">
        <f>+B26</f>
        <v>172884.92</v>
      </c>
    </row>
    <row r="43" spans="1:3">
      <c r="A43" t="s">
        <v>31</v>
      </c>
      <c r="B43" s="7">
        <f>+SUM(B41:B42)</f>
        <v>585955.07000000007</v>
      </c>
    </row>
    <row r="45" spans="1:3">
      <c r="A45" t="s">
        <v>186</v>
      </c>
    </row>
    <row r="46" spans="1:3">
      <c r="A46" s="2" t="s">
        <v>171</v>
      </c>
      <c r="B46" s="7">
        <f>+B16+B21</f>
        <v>113158.04999999999</v>
      </c>
    </row>
    <row r="47" spans="1:3">
      <c r="A47" s="2" t="s">
        <v>187</v>
      </c>
      <c r="B47" s="7">
        <f>+B17+B22</f>
        <v>280162.51</v>
      </c>
    </row>
    <row r="48" spans="1:3">
      <c r="A48" s="2" t="s">
        <v>177</v>
      </c>
      <c r="B48" s="7">
        <f>+B18+B23</f>
        <v>152399.95000000001</v>
      </c>
    </row>
    <row r="49" spans="1:3">
      <c r="A49" s="2" t="s">
        <v>182</v>
      </c>
      <c r="B49" s="7">
        <f>+B19</f>
        <v>33673.33</v>
      </c>
    </row>
    <row r="50" spans="1:3">
      <c r="A50" s="2" t="s">
        <v>183</v>
      </c>
      <c r="B50" s="7">
        <f>+B24+B25</f>
        <v>6561.23</v>
      </c>
    </row>
    <row r="51" spans="1:3">
      <c r="A51" s="2" t="s">
        <v>31</v>
      </c>
      <c r="B51" s="7">
        <f>+SUM(B46:B50)</f>
        <v>585955.06999999995</v>
      </c>
      <c r="C51" t="b">
        <f>+B51=B43</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vt:i4>
      </vt:variant>
    </vt:vector>
  </HeadingPairs>
  <TitlesOfParts>
    <vt:vector size="22" baseType="lpstr">
      <vt:lpstr>Rent vs. Buy</vt:lpstr>
      <vt:lpstr>MoneyBoard - Key Metrics</vt:lpstr>
      <vt:lpstr>Execute on Securities Trades</vt:lpstr>
      <vt:lpstr>Model Portfolios</vt:lpstr>
      <vt:lpstr>Long-Term Forecast</vt:lpstr>
      <vt:lpstr>Dashboard Style</vt:lpstr>
      <vt:lpstr>Money Movement</vt:lpstr>
      <vt:lpstr>Cash Flow Walk</vt:lpstr>
      <vt:lpstr>MoneyBoard - Balance Sheet</vt:lpstr>
      <vt:lpstr>Charts</vt:lpstr>
      <vt:lpstr>DATA AND MODELS--&gt;</vt:lpstr>
      <vt:lpstr>Balance Sheet</vt:lpstr>
      <vt:lpstr>Cash Flow</vt:lpstr>
      <vt:lpstr>OPTIMIZER</vt:lpstr>
      <vt:lpstr>Investment Breakdown</vt:lpstr>
      <vt:lpstr>Portfolio_Positions_Apr-05-2025</vt:lpstr>
      <vt:lpstr>Investment Breakdown (3.19.25)</vt:lpstr>
      <vt:lpstr>'Balance Sheet'!Print_Area</vt:lpstr>
      <vt:lpstr>'Cash Flow'!Print_Area</vt:lpstr>
      <vt:lpstr>Charts!Print_Area</vt:lpstr>
      <vt:lpstr>'DATA AND MODELS--&gt;'!Print_Area</vt:lpstr>
      <vt:lpstr>Charts!Print_Titles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Sarna</dc:creator>
  <cp:lastModifiedBy>Dhruv Sarna</cp:lastModifiedBy>
  <cp:lastPrinted>2025-04-25T13:56:49Z</cp:lastPrinted>
  <dcterms:created xsi:type="dcterms:W3CDTF">2024-11-19T13:42:44Z</dcterms:created>
  <dcterms:modified xsi:type="dcterms:W3CDTF">2026-02-17T16:54:03Z</dcterms:modified>
</cp:coreProperties>
</file>